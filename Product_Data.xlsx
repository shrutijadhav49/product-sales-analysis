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ASC\Downloads\"/>
    </mc:Choice>
  </mc:AlternateContent>
  <bookViews>
    <workbookView xWindow="0" yWindow="0" windowWidth="19200" windowHeight="6730" activeTab="1"/>
  </bookViews>
  <sheets>
    <sheet name="Dashboard" sheetId="4" r:id="rId1"/>
    <sheet name="Data" sheetId="1" r:id="rId2"/>
  </sheets>
  <definedNames>
    <definedName name="Slicer_Month">#N/A</definedName>
    <definedName name="Slicer_Product">#N/A</definedName>
    <definedName name="Slicer_Sales_Type">#N/A</definedName>
  </definedNames>
  <calcPr calcId="152511"/>
  <pivotCaches>
    <pivotCache cacheId="4" r:id="rId3"/>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6" i="4" l="1"/>
  <c r="F6" i="4"/>
  <c r="E105" i="1"/>
  <c r="I6" i="4"/>
  <c r="O41" i="4" l="1"/>
</calcChain>
</file>

<file path=xl/sharedStrings.xml><?xml version="1.0" encoding="utf-8"?>
<sst xmlns="http://schemas.openxmlformats.org/spreadsheetml/2006/main" count="700" uniqueCount="157">
  <si>
    <t>ProductID</t>
  </si>
  <si>
    <t>Product</t>
  </si>
  <si>
    <t>Category</t>
  </si>
  <si>
    <t>UDM</t>
  </si>
  <si>
    <t>Buying Price</t>
  </si>
  <si>
    <t>Selling Price</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</si>
  <si>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</si>
  <si>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</si>
  <si>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</si>
  <si>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</si>
  <si>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</si>
  <si>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</si>
  <si>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</si>
  <si>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</si>
  <si>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</si>
  <si>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</si>
  <si>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</si>
  <si>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</si>
  <si>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</si>
  <si>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</si>
  <si>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</si>
  <si>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</si>
  <si>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</si>
  <si>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</si>
  <si>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</si>
  <si>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</si>
  <si>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</si>
  <si>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</si>
  <si>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</si>
  <si>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</si>
  <si>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</si>
  <si>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</si>
  <si>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</si>
  <si>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</si>
  <si>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</si>
  <si>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</si>
  <si>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</si>
  <si>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</si>
  <si>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</si>
  <si>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</si>
  <si>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</si>
  <si>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</si>
  <si>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</si>
  <si>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</si>
  <si>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</si>
  <si>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</si>
  <si>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</si>
  <si>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</si>
  <si>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</si>
  <si>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</si>
  <si>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</si>
  <si>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</si>
  <si>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</si>
  <si>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</si>
  <si>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</si>
  <si>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</si>
  <si>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</si>
  <si>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</si>
  <si>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</si>
  <si>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</si>
  <si>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</si>
  <si>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</si>
  <si>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</si>
  <si>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</si>
  <si>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</si>
  <si>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</si>
  <si>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</si>
  <si>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</si>
  <si>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</si>
  <si>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</si>
  <si>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</si>
  <si>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</si>
  <si>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</si>
  <si>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</si>
  <si>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</si>
  <si>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</si>
  <si>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</si>
  <si>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</si>
  <si>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</si>
  <si>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</si>
  <si>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</si>
  <si>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</si>
  <si>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</si>
  <si>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</si>
  <si>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</si>
  <si>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</si>
  <si>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</si>
  <si>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</si>
  <si>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</si>
  <si>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</si>
  <si>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</si>
  <si>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</si>
  <si>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</si>
  <si>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</si>
  <si>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</si>
  <si>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</si>
  <si>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</si>
  <si>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</si>
  <si>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</si>
  <si>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</si>
  <si>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</si>
  <si>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</si>
  <si>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</si>
  <si>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</si>
  <si>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</si>
  <si>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</si>
  <si>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Camera</t>
  </si>
  <si>
    <t>Watch</t>
  </si>
  <si>
    <t>Printer</t>
  </si>
  <si>
    <t>Mouse</t>
  </si>
  <si>
    <t>Headphones</t>
  </si>
  <si>
    <t>Tablet</t>
  </si>
  <si>
    <t>Phone</t>
  </si>
  <si>
    <t>Keyboard</t>
  </si>
  <si>
    <t>Monitor</t>
  </si>
  <si>
    <t>Laptop</t>
  </si>
  <si>
    <t>Accessories</t>
  </si>
  <si>
    <t>Electronics</t>
  </si>
  <si>
    <t>Gadgets</t>
  </si>
  <si>
    <t>Pack</t>
  </si>
  <si>
    <t>Piece</t>
  </si>
  <si>
    <t>Box</t>
  </si>
  <si>
    <t>Unit</t>
  </si>
  <si>
    <t>Quantity</t>
  </si>
  <si>
    <t>Sales_Type</t>
  </si>
  <si>
    <t>Retail</t>
  </si>
  <si>
    <t>Wholesale</t>
  </si>
  <si>
    <t>Online</t>
  </si>
  <si>
    <t>Direct</t>
  </si>
  <si>
    <t>Discount</t>
  </si>
  <si>
    <t>Day</t>
  </si>
  <si>
    <t>Month</t>
  </si>
  <si>
    <t>Jan</t>
  </si>
  <si>
    <t>Feb</t>
  </si>
  <si>
    <t>Mar</t>
  </si>
  <si>
    <t>Apr</t>
  </si>
  <si>
    <t>May</t>
  </si>
  <si>
    <t>Jun</t>
  </si>
  <si>
    <t>Jul</t>
  </si>
  <si>
    <t>Aug</t>
  </si>
  <si>
    <t>Sep</t>
  </si>
  <si>
    <t>Oct</t>
  </si>
  <si>
    <t>Nov</t>
  </si>
  <si>
    <t>Dec</t>
  </si>
  <si>
    <t>Year</t>
  </si>
  <si>
    <t>Row Labels</t>
  </si>
  <si>
    <t>Grand Total</t>
  </si>
  <si>
    <t>Column Labels</t>
  </si>
  <si>
    <t>Sum of Selling Price</t>
  </si>
  <si>
    <t>Sum of Buying Price</t>
  </si>
  <si>
    <t>Target</t>
  </si>
  <si>
    <t>(blank)</t>
  </si>
  <si>
    <t>Sum of Target</t>
  </si>
  <si>
    <t>DashBoard For Product Data</t>
  </si>
  <si>
    <t>Total Sales</t>
  </si>
  <si>
    <t>Total Profit</t>
  </si>
  <si>
    <t>Total Discount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</si>
</sst>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009]#,##0.00"/>
  </numFmts>
  <fonts count="9" x14ac:knownFonts="1">
    <font>
      <sz val="11"/>
      <color theme="1"/>
      <name val="Calibri"/>
      <family val="2"/>
      <scheme val="minor"/>
    </font>
    <font>
      <b/>
      <sz val="11"/>
      <color theme="1"/>
      <name val="Calibri"/>
      <family val="2"/>
      <scheme val="minor"/>
    </font>
    <font>
      <b/>
      <sz val="11"/>
      <color theme="1"/>
      <name val="Calibri"/>
      <scheme val="minor"/>
    </font>
    <font>
      <sz val="11"/>
      <color theme="0"/>
      <name val="Calibri"/>
      <family val="2"/>
      <scheme val="minor"/>
    </font>
    <font>
      <sz val="20"/>
      <color theme="1"/>
      <name val="Calibri"/>
      <family val="2"/>
      <scheme val="minor"/>
    </font>
    <font>
      <sz val="11"/>
      <name val="Calibri"/>
      <family val="2"/>
      <scheme val="minor"/>
    </font>
    <font>
      <sz val="12"/>
      <color theme="1"/>
      <name val="Calibri"/>
      <family val="2"/>
      <scheme val="minor"/>
    </font>
    <font>
      <b/>
      <sz val="18"/>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0" borderId="0" xfId="0" applyFont="1"/>
    <xf numFmtId="9"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left"/>
    </xf>
    <xf numFmtId="0" fontId="0" fillId="2" borderId="0" xfId="0" applyNumberFormat="1" applyFill="1"/>
    <xf numFmtId="0" fontId="0" fillId="3" borderId="0" xfId="0" applyFill="1" applyAlignment="1">
      <alignment horizontal="left"/>
    </xf>
    <xf numFmtId="0" fontId="0" fillId="3" borderId="0" xfId="0" applyNumberFormat="1" applyFill="1"/>
    <xf numFmtId="0" fontId="0" fillId="2" borderId="0" xfId="0" applyFill="1"/>
    <xf numFmtId="0" fontId="3" fillId="0" borderId="0" xfId="0" applyFont="1"/>
    <xf numFmtId="0" fontId="5" fillId="2" borderId="0" xfId="0" applyFont="1" applyFill="1"/>
    <xf numFmtId="0" fontId="5" fillId="2" borderId="0" xfId="0" applyFont="1" applyFill="1" applyAlignment="1">
      <alignment horizontal="center"/>
    </xf>
    <xf numFmtId="0" fontId="5" fillId="2" borderId="0" xfId="0" applyFont="1" applyFill="1" applyAlignment="1">
      <alignment horizontal="left"/>
    </xf>
    <xf numFmtId="0" fontId="0" fillId="2" borderId="0" xfId="0" applyFill="1" applyAlignment="1"/>
    <xf numFmtId="0" fontId="1" fillId="2" borderId="0" xfId="0" applyFont="1" applyFill="1" applyAlignment="1"/>
    <xf numFmtId="0" fontId="0" fillId="3" borderId="0" xfId="0" applyNumberFormat="1" applyFill="1" applyAlignment="1">
      <alignment horizontal="right"/>
    </xf>
    <xf numFmtId="0" fontId="0" fillId="2" borderId="0" xfId="0" applyNumberFormat="1" applyFill="1" applyAlignment="1">
      <alignment horizontal="right"/>
    </xf>
    <xf numFmtId="0" fontId="0" fillId="2" borderId="0" xfId="0" applyFill="1" applyAlignment="1">
      <alignment horizontal="right"/>
    </xf>
    <xf numFmtId="0" fontId="0" fillId="2" borderId="0" xfId="0" applyNumberFormat="1" applyFill="1" applyAlignment="1"/>
    <xf numFmtId="0" fontId="0" fillId="0" borderId="0" xfId="0" applyFill="1"/>
    <xf numFmtId="0" fontId="4" fillId="0" borderId="0" xfId="0" applyFont="1" applyFill="1"/>
    <xf numFmtId="0" fontId="0" fillId="0" borderId="0" xfId="0" applyFill="1" applyAlignment="1">
      <alignment horizontal="center"/>
    </xf>
    <xf numFmtId="0" fontId="0" fillId="0" borderId="0" xfId="0" applyFill="1" applyAlignment="1">
      <alignment horizontal="center" vertical="center"/>
    </xf>
    <xf numFmtId="0" fontId="6" fillId="0" borderId="0" xfId="0" applyFont="1" applyFill="1" applyAlignment="1">
      <alignment horizontal="center"/>
    </xf>
    <xf numFmtId="0" fontId="8" fillId="0" borderId="0" xfId="0" applyFont="1" applyFill="1" applyAlignment="1">
      <alignment horizontal="center" vertical="center"/>
    </xf>
    <xf numFmtId="0" fontId="5" fillId="0" borderId="0" xfId="0" pivotButton="1" applyFont="1"/>
    <xf numFmtId="0" fontId="4" fillId="2" borderId="0" xfId="0"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center" vertical="top"/>
    </xf>
    <xf numFmtId="0" fontId="7" fillId="0" borderId="0" xfId="0" applyFont="1" applyFill="1" applyAlignment="1">
      <alignment horizontal="center" vertical="center"/>
    </xf>
    <xf numFmtId="0" fontId="0" fillId="0" borderId="0" xfId="0" applyFill="1" applyAlignment="1">
      <alignment horizontal="left" vertical="center"/>
    </xf>
    <xf numFmtId="0" fontId="0" fillId="0" borderId="0" xfId="0" applyAlignment="1">
      <alignment horizontal="center" vertical="top"/>
    </xf>
    <xf numFmtId="0" fontId="0" fillId="2" borderId="0" xfId="0" pivotButton="1" applyFill="1" applyAlignment="1">
      <alignment horizontal="center" vertical="top"/>
    </xf>
    <xf numFmtId="0" fontId="7" fillId="3" borderId="0" xfId="0" applyFont="1" applyFill="1" applyAlignment="1">
      <alignment horizontal="center" vertical="center"/>
    </xf>
    <xf numFmtId="0" fontId="0" fillId="3" borderId="0" xfId="0" applyFill="1" applyAlignment="1">
      <alignment horizontal="center" vertical="center"/>
    </xf>
    <xf numFmtId="0" fontId="0" fillId="2" borderId="0" xfId="0" applyFill="1" applyAlignment="1">
      <alignment horizontal="center"/>
    </xf>
    <xf numFmtId="0" fontId="8" fillId="3" borderId="0" xfId="0" applyFont="1" applyFill="1" applyAlignment="1">
      <alignment horizontal="center" vertical="center"/>
    </xf>
    <xf numFmtId="0" fontId="6" fillId="2" borderId="0" xfId="0" applyFont="1" applyFill="1" applyAlignment="1">
      <alignment horizontal="center"/>
    </xf>
    <xf numFmtId="0" fontId="0" fillId="2" borderId="0" xfId="0" applyFill="1" applyAlignment="1">
      <alignment horizontal="center" vertical="center"/>
    </xf>
  </cellXfs>
  <cellStyles count="1">
    <cellStyle name="Normal" xfId="0" builtinId="0"/>
  </cellStyles>
  <dxfs count="71">
    <dxf>
      <numFmt numFmtId="0" formatCode="General"/>
    </dxf>
    <dxf>
      <numFmt numFmtId="164" formatCode="[$$-1009]#,##0.00"/>
    </dxf>
    <dxf>
      <numFmt numFmtId="164" formatCode="[$$-1009]#,##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readingOrder="0"/>
    </dxf>
    <dxf>
      <alignment horizontal="left" readingOrder="0"/>
    </dxf>
    <dxf>
      <font>
        <color auto="1"/>
      </font>
    </dxf>
    <dxf>
      <font>
        <color auto="1"/>
      </font>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alignment horizontal="right" readingOrder="0"/>
    </dxf>
    <dxf>
      <alignment horizontal="center" readingOrder="0"/>
    </dxf>
    <dxf>
      <alignment horizontal="center" readingOrder="0"/>
    </dxf>
    <dxf>
      <font>
        <color auto="1"/>
      </font>
    </dxf>
    <dxf>
      <fill>
        <patternFill patternType="solid">
          <bgColor theme="7" tint="0.39997558519241921"/>
        </patternFill>
      </fill>
    </dxf>
    <dxf>
      <font>
        <color auto="1"/>
      </font>
    </dxf>
    <dxf>
      <font>
        <color auto="1"/>
      </font>
    </dxf>
    <dxf>
      <fill>
        <patternFill patternType="solid">
          <bgColor theme="7" tint="0.39997558519241921"/>
        </patternFill>
      </fill>
    </dxf>
    <dxf>
      <font>
        <color auto="1"/>
      </font>
    </dxf>
    <dxf>
      <font>
        <color auto="1"/>
      </font>
    </dxf>
    <dxf>
      <fill>
        <patternFill>
          <bgColor theme="7" tint="0.39997558519241921"/>
        </patternFill>
      </fill>
    </dxf>
    <dxf>
      <fill>
        <patternFill>
          <bgColor theme="7" tint="0.39997558519241921"/>
        </patternFill>
      </fill>
    </dxf>
    <dxf>
      <fill>
        <patternFill>
          <bgColor theme="7" tint="0.79998168889431442"/>
        </patternFill>
      </fill>
    </dxf>
    <dxf>
      <fill>
        <patternFill>
          <bgColor theme="7"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alignment horizontal="center" readingOrder="0"/>
    </dxf>
    <dxf>
      <alignment horizontal="center" readingOrder="0"/>
    </dxf>
    <dxf>
      <font>
        <color auto="1"/>
      </font>
    </dxf>
    <dxf>
      <fill>
        <patternFill patternType="solid">
          <bgColor theme="7" tint="0.39997558519241921"/>
        </patternFill>
      </fill>
    </dxf>
    <dxf>
      <font>
        <color auto="1"/>
      </font>
    </dxf>
    <dxf>
      <fill>
        <patternFill patternType="solid">
          <bgColor theme="7" tint="0.39997558519241921"/>
        </patternFill>
      </fill>
    </dxf>
    <dxf>
      <font>
        <color auto="1"/>
      </font>
    </dxf>
    <dxf>
      <font>
        <color auto="1"/>
      </font>
    </dxf>
    <dxf>
      <fill>
        <patternFill>
          <bgColor theme="7" tint="0.39997558519241921"/>
        </patternFill>
      </fill>
    </dxf>
    <dxf>
      <fill>
        <patternFill>
          <bgColor theme="7" tint="0.39997558519241921"/>
        </patternFill>
      </fill>
    </dxf>
    <dxf>
      <fill>
        <patternFill patternType="solid">
          <bgColor theme="7" tint="0.39997558519241921"/>
        </patternFill>
      </fill>
    </dxf>
    <dxf>
      <fill>
        <patternFill patternType="solid">
          <bgColor theme="7"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39997558519241921"/>
        </patternFill>
      </fill>
    </dxf>
    <dxf>
      <font>
        <b/>
      </font>
    </dxf>
    <dxf>
      <font>
        <b/>
      </font>
    </dxf>
    <dxf>
      <alignment horizontal="general" readingOrder="0"/>
    </dxf>
    <dxf>
      <alignment horizontal="general" readingOrder="0"/>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alignment vertical="top" readingOrder="0"/>
    </dxf>
    <dxf>
      <alignment vertical="top" readingOrder="0"/>
    </dxf>
    <dxf>
      <alignment horizontal="center" readingOrder="0"/>
    </dxf>
    <dxf>
      <alignment horizontal="center" readingOrder="0"/>
    </dxf>
    <dxf>
      <alignment horizontal="general" readingOrder="0"/>
    </dxf>
    <dxf>
      <alignment horizontal="right" readingOrder="0"/>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s>
  <tableStyles count="2" defaultTableStyle="TableStyleMedium9" defaultPivotStyle="PivotStyleLight16">
    <tableStyle name="Slicer Style 1" pivot="0" table="0" count="0"/>
    <tableStyle name="Slicer Style 2" pivot="0" table="0" count="1"/>
  </tableStyles>
  <extLst>
    <ext xmlns:x14="http://schemas.microsoft.com/office/spreadsheetml/2009/9/main" uri="{46F421CA-312F-682f-3DD2-61675219B42D}">
      <x14:dxfs count="1">
        <dxf>
          <font>
            <color theme="8" tint="0.39994506668294322"/>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GB"/>
              <a:t>Total Buying Cost by Product and Category</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s>
    <c:plotArea>
      <c:layout/>
      <c:barChart>
        <c:barDir val="bar"/>
        <c:grouping val="stacked"/>
        <c:varyColors val="0"/>
        <c:ser>
          <c:idx val="0"/>
          <c:order val="0"/>
          <c:tx>
            <c:v>Accessories</c:v>
          </c:tx>
          <c:spPr>
            <a:solidFill>
              <a:schemeClr val="accent4">
                <a:shade val="65000"/>
              </a:schemeClr>
            </a:solidFill>
            <a:ln>
              <a:noFill/>
            </a:ln>
            <a:effectLst/>
          </c:spPr>
          <c:invertIfNegative val="0"/>
          <c:cat>
            <c:strLit>
              <c:ptCount val="10"/>
              <c:pt idx="0">
                <c:v>Camera</c:v>
              </c:pt>
              <c:pt idx="1">
                <c:v>Headphones</c:v>
              </c:pt>
              <c:pt idx="2">
                <c:v>Keyboard</c:v>
              </c:pt>
              <c:pt idx="3">
                <c:v>Laptop</c:v>
              </c:pt>
              <c:pt idx="4">
                <c:v>Monitor</c:v>
              </c:pt>
              <c:pt idx="5">
                <c:v>Mouse</c:v>
              </c:pt>
              <c:pt idx="6">
                <c:v>Phone</c:v>
              </c:pt>
              <c:pt idx="7">
                <c:v>Printer</c:v>
              </c:pt>
              <c:pt idx="8">
                <c:v>Tablet</c:v>
              </c:pt>
              <c:pt idx="9">
                <c:v>Watch</c:v>
              </c:pt>
            </c:strLit>
          </c:cat>
          <c:val>
            <c:numLit>
              <c:formatCode>General</c:formatCode>
              <c:ptCount val="10"/>
              <c:pt idx="0">
                <c:v>1210.5500000000002</c:v>
              </c:pt>
              <c:pt idx="1">
                <c:v>2401.5500000000002</c:v>
              </c:pt>
              <c:pt idx="2">
                <c:v>1515.61</c:v>
              </c:pt>
              <c:pt idx="3">
                <c:v>1657.92</c:v>
              </c:pt>
              <c:pt idx="4">
                <c:v>3586.51</c:v>
              </c:pt>
              <c:pt idx="5">
                <c:v>2390.5299999999997</c:v>
              </c:pt>
              <c:pt idx="6">
                <c:v>1868.19</c:v>
              </c:pt>
              <c:pt idx="7">
                <c:v>1194.9100000000001</c:v>
              </c:pt>
              <c:pt idx="8">
                <c:v>268.52</c:v>
              </c:pt>
              <c:pt idx="9">
                <c:v>1338.83</c:v>
              </c:pt>
            </c:numLit>
          </c:val>
        </c:ser>
        <c:ser>
          <c:idx val="1"/>
          <c:order val="1"/>
          <c:tx>
            <c:v>Electronics</c:v>
          </c:tx>
          <c:spPr>
            <a:solidFill>
              <a:schemeClr val="accent4"/>
            </a:solidFill>
            <a:ln>
              <a:noFill/>
            </a:ln>
            <a:effectLst/>
          </c:spPr>
          <c:invertIfNegative val="0"/>
          <c:cat>
            <c:strLit>
              <c:ptCount val="10"/>
              <c:pt idx="0">
                <c:v>Camera</c:v>
              </c:pt>
              <c:pt idx="1">
                <c:v>Headphones</c:v>
              </c:pt>
              <c:pt idx="2">
                <c:v>Keyboard</c:v>
              </c:pt>
              <c:pt idx="3">
                <c:v>Laptop</c:v>
              </c:pt>
              <c:pt idx="4">
                <c:v>Monitor</c:v>
              </c:pt>
              <c:pt idx="5">
                <c:v>Mouse</c:v>
              </c:pt>
              <c:pt idx="6">
                <c:v>Phone</c:v>
              </c:pt>
              <c:pt idx="7">
                <c:v>Printer</c:v>
              </c:pt>
              <c:pt idx="8">
                <c:v>Tablet</c:v>
              </c:pt>
              <c:pt idx="9">
                <c:v>Watch</c:v>
              </c:pt>
            </c:strLit>
          </c:cat>
          <c:val>
            <c:numLit>
              <c:formatCode>General</c:formatCode>
              <c:ptCount val="10"/>
              <c:pt idx="0">
                <c:v>2670.8</c:v>
              </c:pt>
              <c:pt idx="1">
                <c:v>1989.1399999999999</c:v>
              </c:pt>
              <c:pt idx="2">
                <c:v>897.62</c:v>
              </c:pt>
              <c:pt idx="3">
                <c:v>1530.37</c:v>
              </c:pt>
              <c:pt idx="4">
                <c:v>3294.36</c:v>
              </c:pt>
              <c:pt idx="5">
                <c:v>2077.2600000000002</c:v>
              </c:pt>
              <c:pt idx="6">
                <c:v>1873.6100000000001</c:v>
              </c:pt>
              <c:pt idx="7">
                <c:v>1139.76</c:v>
              </c:pt>
              <c:pt idx="8">
                <c:v>297.04000000000002</c:v>
              </c:pt>
              <c:pt idx="9">
                <c:v>2470.4</c:v>
              </c:pt>
            </c:numLit>
          </c:val>
        </c:ser>
        <c:ser>
          <c:idx val="2"/>
          <c:order val="2"/>
          <c:tx>
            <c:v>Gadgets</c:v>
          </c:tx>
          <c:spPr>
            <a:solidFill>
              <a:schemeClr val="accent4">
                <a:tint val="65000"/>
              </a:schemeClr>
            </a:solidFill>
            <a:ln>
              <a:noFill/>
            </a:ln>
            <a:effectLst/>
          </c:spPr>
          <c:invertIfNegative val="0"/>
          <c:cat>
            <c:strLit>
              <c:ptCount val="10"/>
              <c:pt idx="0">
                <c:v>Camera</c:v>
              </c:pt>
              <c:pt idx="1">
                <c:v>Headphones</c:v>
              </c:pt>
              <c:pt idx="2">
                <c:v>Keyboard</c:v>
              </c:pt>
              <c:pt idx="3">
                <c:v>Laptop</c:v>
              </c:pt>
              <c:pt idx="4">
                <c:v>Monitor</c:v>
              </c:pt>
              <c:pt idx="5">
                <c:v>Mouse</c:v>
              </c:pt>
              <c:pt idx="6">
                <c:v>Phone</c:v>
              </c:pt>
              <c:pt idx="7">
                <c:v>Printer</c:v>
              </c:pt>
              <c:pt idx="8">
                <c:v>Tablet</c:v>
              </c:pt>
              <c:pt idx="9">
                <c:v>Watch</c:v>
              </c:pt>
            </c:strLit>
          </c:cat>
          <c:val>
            <c:numLit>
              <c:formatCode>General</c:formatCode>
              <c:ptCount val="10"/>
              <c:pt idx="0">
                <c:v>466.42</c:v>
              </c:pt>
              <c:pt idx="1">
                <c:v>3180.9300000000003</c:v>
              </c:pt>
              <c:pt idx="2">
                <c:v>988.17</c:v>
              </c:pt>
              <c:pt idx="3">
                <c:v>983.81</c:v>
              </c:pt>
              <c:pt idx="4">
                <c:v>2878.6899999999996</c:v>
              </c:pt>
              <c:pt idx="5">
                <c:v>387.68</c:v>
              </c:pt>
              <c:pt idx="6">
                <c:v>249.7</c:v>
              </c:pt>
              <c:pt idx="7">
                <c:v>3379.1799999999994</c:v>
              </c:pt>
              <c:pt idx="8">
                <c:v>2091.09</c:v>
              </c:pt>
              <c:pt idx="9">
                <c:v>3799.2999999999993</c:v>
              </c:pt>
            </c:numLit>
          </c:val>
        </c:ser>
        <c:dLbls>
          <c:showLegendKey val="0"/>
          <c:showVal val="0"/>
          <c:showCatName val="0"/>
          <c:showSerName val="0"/>
          <c:showPercent val="0"/>
          <c:showBubbleSize val="0"/>
        </c:dLbls>
        <c:gapWidth val="219"/>
        <c:overlap val="100"/>
        <c:axId val="80702896"/>
        <c:axId val="80693104"/>
      </c:barChart>
      <c:catAx>
        <c:axId val="8070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80693104"/>
        <c:crosses val="autoZero"/>
        <c:auto val="1"/>
        <c:lblAlgn val="ctr"/>
        <c:lblOffset val="100"/>
        <c:noMultiLvlLbl val="0"/>
      </c:catAx>
      <c:valAx>
        <c:axId val="8069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80702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GB"/>
              <a:t>Total Sales by Category and Unit of Measure</a:t>
            </a:r>
          </a:p>
        </c:rich>
      </c:tx>
      <c:layout>
        <c:manualLayout>
          <c:xMode val="edge"/>
          <c:yMode val="edge"/>
          <c:x val="0.16086907694074706"/>
          <c:y val="3.666759166117450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alpha val="70000"/>
            </a:schemeClr>
          </a:solidFill>
          <a:ln>
            <a:noFill/>
          </a:ln>
          <a:effectLst/>
        </c:spPr>
        <c:marker>
          <c:symbol val="none"/>
        </c:marker>
      </c:pivotFmt>
      <c:pivotFmt>
        <c:idx val="1"/>
        <c:spPr>
          <a:solidFill>
            <a:schemeClr val="accent4">
              <a:alpha val="70000"/>
            </a:schemeClr>
          </a:solidFill>
          <a:ln>
            <a:noFill/>
          </a:ln>
          <a:effectLst/>
        </c:spPr>
        <c:marker>
          <c:symbol val="none"/>
        </c:marker>
      </c:pivotFmt>
      <c:pivotFmt>
        <c:idx val="2"/>
        <c:spPr>
          <a:solidFill>
            <a:schemeClr val="accent4">
              <a:alpha val="70000"/>
            </a:schemeClr>
          </a:solidFill>
          <a:ln>
            <a:noFill/>
          </a:ln>
          <a:effectLst/>
        </c:spPr>
        <c:marker>
          <c:symbol val="none"/>
        </c:marker>
      </c:pivotFmt>
      <c:pivotFmt>
        <c:idx val="3"/>
        <c:spPr>
          <a:solidFill>
            <a:schemeClr val="accent4">
              <a:alpha val="70000"/>
            </a:schemeClr>
          </a:solidFill>
          <a:ln>
            <a:noFill/>
          </a:ln>
          <a:effectLst/>
        </c:spPr>
        <c:marker>
          <c:symbol val="none"/>
        </c:marker>
      </c:pivotFmt>
      <c:pivotFmt>
        <c:idx val="4"/>
        <c:spPr>
          <a:solidFill>
            <a:schemeClr val="accent4">
              <a:alpha val="70000"/>
            </a:schemeClr>
          </a:solidFill>
          <a:ln>
            <a:noFill/>
          </a:ln>
          <a:effectLst/>
        </c:spPr>
        <c:marker>
          <c:symbol val="none"/>
        </c:marker>
      </c:pivotFmt>
      <c:pivotFmt>
        <c:idx val="5"/>
        <c:spPr>
          <a:solidFill>
            <a:schemeClr val="accent4">
              <a:alpha val="70000"/>
            </a:schemeClr>
          </a:solidFill>
          <a:ln>
            <a:noFill/>
          </a:ln>
          <a:effectLst/>
        </c:spPr>
        <c:marker>
          <c:symbol val="none"/>
        </c:marker>
      </c:pivotFmt>
      <c:pivotFmt>
        <c:idx val="6"/>
        <c:spPr>
          <a:solidFill>
            <a:schemeClr val="accent4">
              <a:alpha val="70000"/>
            </a:schemeClr>
          </a:solidFill>
          <a:ln>
            <a:noFill/>
          </a:ln>
          <a:effectLst/>
        </c:spPr>
        <c:marker>
          <c:symbol val="none"/>
        </c:marker>
      </c:pivotFmt>
      <c:pivotFmt>
        <c:idx val="7"/>
        <c:spPr>
          <a:solidFill>
            <a:schemeClr val="accent4">
              <a:alpha val="70000"/>
            </a:schemeClr>
          </a:solidFill>
          <a:ln>
            <a:noFill/>
          </a:ln>
          <a:effectLst/>
        </c:spPr>
        <c:marker>
          <c:symbol val="none"/>
        </c:marker>
      </c:pivotFmt>
      <c:pivotFmt>
        <c:idx val="8"/>
        <c:spPr>
          <a:solidFill>
            <a:schemeClr val="accent4">
              <a:alpha val="70000"/>
            </a:schemeClr>
          </a:solidFill>
          <a:ln>
            <a:noFill/>
          </a:ln>
          <a:effectLst/>
        </c:spPr>
        <c:marker>
          <c:symbol val="none"/>
        </c:marker>
      </c:pivotFmt>
      <c:pivotFmt>
        <c:idx val="9"/>
        <c:spPr>
          <a:solidFill>
            <a:schemeClr val="accent4">
              <a:alpha val="70000"/>
            </a:schemeClr>
          </a:solidFill>
          <a:ln>
            <a:noFill/>
          </a:ln>
          <a:effectLst/>
        </c:spPr>
        <c:marker>
          <c:symbol val="none"/>
        </c:marker>
      </c:pivotFmt>
      <c:pivotFmt>
        <c:idx val="10"/>
        <c:spPr>
          <a:solidFill>
            <a:schemeClr val="accent4">
              <a:alpha val="70000"/>
            </a:schemeClr>
          </a:solidFill>
          <a:ln>
            <a:noFill/>
          </a:ln>
          <a:effectLst/>
        </c:spPr>
        <c:marker>
          <c:symbol val="none"/>
        </c:marker>
      </c:pivotFmt>
      <c:pivotFmt>
        <c:idx val="11"/>
        <c:spPr>
          <a:solidFill>
            <a:schemeClr val="accent4">
              <a:alpha val="70000"/>
            </a:schemeClr>
          </a:solidFill>
          <a:ln>
            <a:noFill/>
          </a:ln>
          <a:effectLst/>
        </c:spPr>
        <c:marker>
          <c:symbol val="none"/>
        </c:marker>
      </c:pivotFmt>
      <c:pivotFmt>
        <c:idx val="12"/>
        <c:spPr>
          <a:solidFill>
            <a:schemeClr val="accent4">
              <a:alpha val="70000"/>
            </a:schemeClr>
          </a:solidFill>
          <a:ln>
            <a:noFill/>
          </a:ln>
          <a:effectLst/>
        </c:spPr>
        <c:marker>
          <c:symbol val="none"/>
        </c:marker>
      </c:pivotFmt>
      <c:pivotFmt>
        <c:idx val="13"/>
        <c:spPr>
          <a:solidFill>
            <a:schemeClr val="accent4">
              <a:alpha val="70000"/>
            </a:schemeClr>
          </a:solidFill>
          <a:ln>
            <a:noFill/>
          </a:ln>
          <a:effectLst/>
        </c:spPr>
        <c:marker>
          <c:symbol val="none"/>
        </c:marker>
      </c:pivotFmt>
      <c:pivotFmt>
        <c:idx val="14"/>
        <c:spPr>
          <a:solidFill>
            <a:schemeClr val="accent4">
              <a:alpha val="70000"/>
            </a:schemeClr>
          </a:solidFill>
          <a:ln>
            <a:noFill/>
          </a:ln>
          <a:effectLst/>
        </c:spPr>
        <c:marker>
          <c:symbol val="none"/>
        </c:marker>
      </c:pivotFmt>
      <c:pivotFmt>
        <c:idx val="15"/>
        <c:spPr>
          <a:solidFill>
            <a:schemeClr val="accent4">
              <a:alpha val="70000"/>
            </a:schemeClr>
          </a:solidFill>
          <a:ln>
            <a:noFill/>
          </a:ln>
          <a:effectLst/>
        </c:spPr>
        <c:marker>
          <c:symbol val="none"/>
        </c:marker>
      </c:pivotFmt>
      <c:pivotFmt>
        <c:idx val="16"/>
        <c:spPr>
          <a:solidFill>
            <a:schemeClr val="accent4">
              <a:alpha val="70000"/>
            </a:schemeClr>
          </a:solidFill>
          <a:ln>
            <a:noFill/>
          </a:ln>
          <a:effectLst/>
        </c:spPr>
        <c:marker>
          <c:symbol val="none"/>
        </c:marker>
      </c:pivotFmt>
      <c:pivotFmt>
        <c:idx val="17"/>
        <c:spPr>
          <a:solidFill>
            <a:schemeClr val="accent4">
              <a:alpha val="70000"/>
            </a:schemeClr>
          </a:solidFill>
          <a:ln>
            <a:noFill/>
          </a:ln>
          <a:effectLst/>
        </c:spPr>
        <c:marker>
          <c:symbol val="none"/>
        </c:marker>
      </c:pivotFmt>
    </c:pivotFmts>
    <c:plotArea>
      <c:layout>
        <c:manualLayout>
          <c:layoutTarget val="inner"/>
          <c:xMode val="edge"/>
          <c:yMode val="edge"/>
          <c:x val="0.13122810417928529"/>
          <c:y val="0.21158892767270071"/>
          <c:w val="0.71841308298001216"/>
          <c:h val="0.65853091280256637"/>
        </c:manualLayout>
      </c:layout>
      <c:barChart>
        <c:barDir val="col"/>
        <c:grouping val="clustered"/>
        <c:varyColors val="0"/>
        <c:ser>
          <c:idx val="0"/>
          <c:order val="0"/>
          <c:tx>
            <c:v>Box</c:v>
          </c:tx>
          <c:spPr>
            <a:solidFill>
              <a:schemeClr val="accent4">
                <a:shade val="58000"/>
                <a:alpha val="70000"/>
              </a:schemeClr>
            </a:solidFill>
            <a:ln>
              <a:noFill/>
            </a:ln>
            <a:effectLst/>
          </c:spPr>
          <c:invertIfNegative val="0"/>
          <c:cat>
            <c:strLit>
              <c:ptCount val="3"/>
              <c:pt idx="0">
                <c:v>Accessories</c:v>
              </c:pt>
              <c:pt idx="1">
                <c:v>Electronics</c:v>
              </c:pt>
              <c:pt idx="2">
                <c:v>Gadgets</c:v>
              </c:pt>
            </c:strLit>
          </c:cat>
          <c:val>
            <c:numLit>
              <c:formatCode>General</c:formatCode>
              <c:ptCount val="3"/>
              <c:pt idx="0">
                <c:v>6450.43</c:v>
              </c:pt>
              <c:pt idx="1">
                <c:v>2228.66</c:v>
              </c:pt>
              <c:pt idx="2">
                <c:v>4545.2300000000005</c:v>
              </c:pt>
            </c:numLit>
          </c:val>
        </c:ser>
        <c:ser>
          <c:idx val="1"/>
          <c:order val="1"/>
          <c:tx>
            <c:v>Pack</c:v>
          </c:tx>
          <c:spPr>
            <a:solidFill>
              <a:schemeClr val="accent4">
                <a:shade val="86000"/>
                <a:alpha val="70000"/>
              </a:schemeClr>
            </a:solidFill>
            <a:ln>
              <a:noFill/>
            </a:ln>
            <a:effectLst/>
          </c:spPr>
          <c:invertIfNegative val="0"/>
          <c:cat>
            <c:strLit>
              <c:ptCount val="3"/>
              <c:pt idx="0">
                <c:v>Accessories</c:v>
              </c:pt>
              <c:pt idx="1">
                <c:v>Electronics</c:v>
              </c:pt>
              <c:pt idx="2">
                <c:v>Gadgets</c:v>
              </c:pt>
            </c:strLit>
          </c:cat>
          <c:val>
            <c:numLit>
              <c:formatCode>General</c:formatCode>
              <c:ptCount val="3"/>
              <c:pt idx="0">
                <c:v>7138.12</c:v>
              </c:pt>
              <c:pt idx="1">
                <c:v>8730.36</c:v>
              </c:pt>
              <c:pt idx="2">
                <c:v>7216.02</c:v>
              </c:pt>
            </c:numLit>
          </c:val>
        </c:ser>
        <c:ser>
          <c:idx val="2"/>
          <c:order val="2"/>
          <c:tx>
            <c:v>Piece</c:v>
          </c:tx>
          <c:spPr>
            <a:solidFill>
              <a:schemeClr val="accent4">
                <a:tint val="86000"/>
                <a:alpha val="70000"/>
              </a:schemeClr>
            </a:solidFill>
            <a:ln>
              <a:noFill/>
            </a:ln>
            <a:effectLst/>
          </c:spPr>
          <c:invertIfNegative val="0"/>
          <c:cat>
            <c:strLit>
              <c:ptCount val="3"/>
              <c:pt idx="0">
                <c:v>Accessories</c:v>
              </c:pt>
              <c:pt idx="1">
                <c:v>Electronics</c:v>
              </c:pt>
              <c:pt idx="2">
                <c:v>Gadgets</c:v>
              </c:pt>
            </c:strLit>
          </c:cat>
          <c:val>
            <c:numLit>
              <c:formatCode>General</c:formatCode>
              <c:ptCount val="3"/>
              <c:pt idx="0">
                <c:v>5014.9600000000009</c:v>
              </c:pt>
              <c:pt idx="1">
                <c:v>5852.61</c:v>
              </c:pt>
              <c:pt idx="2">
                <c:v>6285.08</c:v>
              </c:pt>
            </c:numLit>
          </c:val>
        </c:ser>
        <c:ser>
          <c:idx val="3"/>
          <c:order val="3"/>
          <c:tx>
            <c:v>Unit</c:v>
          </c:tx>
          <c:spPr>
            <a:solidFill>
              <a:schemeClr val="accent4">
                <a:tint val="58000"/>
                <a:alpha val="70000"/>
              </a:schemeClr>
            </a:solidFill>
            <a:ln>
              <a:noFill/>
            </a:ln>
            <a:effectLst/>
          </c:spPr>
          <c:invertIfNegative val="0"/>
          <c:cat>
            <c:strLit>
              <c:ptCount val="3"/>
              <c:pt idx="0">
                <c:v>Accessories</c:v>
              </c:pt>
              <c:pt idx="1">
                <c:v>Electronics</c:v>
              </c:pt>
              <c:pt idx="2">
                <c:v>Gadgets</c:v>
              </c:pt>
            </c:strLit>
          </c:cat>
          <c:val>
            <c:numLit>
              <c:formatCode>General</c:formatCode>
              <c:ptCount val="3"/>
              <c:pt idx="0">
                <c:v>4709.6499999999996</c:v>
              </c:pt>
              <c:pt idx="1">
                <c:v>7656.1699999999992</c:v>
              </c:pt>
              <c:pt idx="2">
                <c:v>5896.42</c:v>
              </c:pt>
            </c:numLit>
          </c:val>
        </c:ser>
        <c:dLbls>
          <c:showLegendKey val="0"/>
          <c:showVal val="0"/>
          <c:showCatName val="0"/>
          <c:showSerName val="0"/>
          <c:showPercent val="0"/>
          <c:showBubbleSize val="0"/>
        </c:dLbls>
        <c:gapWidth val="80"/>
        <c:axId val="80696368"/>
        <c:axId val="80699632"/>
      </c:barChart>
      <c:catAx>
        <c:axId val="806963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80699632"/>
        <c:crosses val="autoZero"/>
        <c:auto val="1"/>
        <c:lblAlgn val="ctr"/>
        <c:lblOffset val="100"/>
        <c:noMultiLvlLbl val="0"/>
      </c:catAx>
      <c:valAx>
        <c:axId val="8069963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06963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GB"/>
              <a:t>Profit Analysis</a:t>
            </a:r>
          </a:p>
        </c:rich>
      </c:tx>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c:spPr>
        <c:marker>
          <c:symbol val="none"/>
        </c:marker>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c:spPr>
        <c:marker>
          <c:symbol val="none"/>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1750" cap="rnd">
            <a:solidFill>
              <a:schemeClr val="accent4"/>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v>Sum of Buying Price</c:v>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10"/>
              <c:pt idx="0">
                <c:v>Camera</c:v>
              </c:pt>
              <c:pt idx="1">
                <c:v>Headphones</c:v>
              </c:pt>
              <c:pt idx="2">
                <c:v>Keyboard</c:v>
              </c:pt>
              <c:pt idx="3">
                <c:v>Laptop</c:v>
              </c:pt>
              <c:pt idx="4">
                <c:v>Monitor</c:v>
              </c:pt>
              <c:pt idx="5">
                <c:v>Mouse</c:v>
              </c:pt>
              <c:pt idx="6">
                <c:v>Phone</c:v>
              </c:pt>
              <c:pt idx="7">
                <c:v>Printer</c:v>
              </c:pt>
              <c:pt idx="8">
                <c:v>Tablet</c:v>
              </c:pt>
              <c:pt idx="9">
                <c:v>Watch</c:v>
              </c:pt>
            </c:strLit>
          </c:cat>
          <c:val>
            <c:numLit>
              <c:formatCode>General</c:formatCode>
              <c:ptCount val="10"/>
              <c:pt idx="0">
                <c:v>4347.7700000000004</c:v>
              </c:pt>
              <c:pt idx="1">
                <c:v>7571.619999999999</c:v>
              </c:pt>
              <c:pt idx="2">
                <c:v>3401.4</c:v>
              </c:pt>
              <c:pt idx="3">
                <c:v>4172.0999999999995</c:v>
              </c:pt>
              <c:pt idx="4">
                <c:v>9759.56</c:v>
              </c:pt>
              <c:pt idx="5">
                <c:v>4855.47</c:v>
              </c:pt>
              <c:pt idx="6">
                <c:v>3991.5</c:v>
              </c:pt>
              <c:pt idx="7">
                <c:v>5713.8499999999995</c:v>
              </c:pt>
              <c:pt idx="8">
                <c:v>2656.6499999999996</c:v>
              </c:pt>
              <c:pt idx="9">
                <c:v>7608.5300000000007</c:v>
              </c:pt>
            </c:numLit>
          </c:val>
        </c:ser>
        <c:dLbls>
          <c:showLegendKey val="0"/>
          <c:showVal val="0"/>
          <c:showCatName val="0"/>
          <c:showSerName val="0"/>
          <c:showPercent val="0"/>
          <c:showBubbleSize val="0"/>
        </c:dLbls>
        <c:gapWidth val="219"/>
        <c:axId val="80703440"/>
        <c:axId val="80691472"/>
      </c:barChart>
      <c:lineChart>
        <c:grouping val="standard"/>
        <c:varyColors val="0"/>
        <c:ser>
          <c:idx val="1"/>
          <c:order val="1"/>
          <c:tx>
            <c:v>Sum of Selling Price</c:v>
          </c:tx>
          <c:spPr>
            <a:ln w="31750" cap="rnd">
              <a:solidFill>
                <a:schemeClr val="accent4">
                  <a:tint val="77000"/>
                </a:schemeClr>
              </a:solidFill>
              <a:round/>
            </a:ln>
            <a:effectLst>
              <a:outerShdw blurRad="40000" dist="23000" dir="5400000" rotWithShape="0">
                <a:srgbClr val="000000">
                  <a:alpha val="35000"/>
                </a:srgbClr>
              </a:outerShdw>
            </a:effectLst>
          </c:spPr>
          <c:marker>
            <c:symbol val="none"/>
          </c:marker>
          <c:cat>
            <c:strLit>
              <c:ptCount val="10"/>
              <c:pt idx="0">
                <c:v>Camera</c:v>
              </c:pt>
              <c:pt idx="1">
                <c:v>Headphones</c:v>
              </c:pt>
              <c:pt idx="2">
                <c:v>Keyboard</c:v>
              </c:pt>
              <c:pt idx="3">
                <c:v>Laptop</c:v>
              </c:pt>
              <c:pt idx="4">
                <c:v>Monitor</c:v>
              </c:pt>
              <c:pt idx="5">
                <c:v>Mouse</c:v>
              </c:pt>
              <c:pt idx="6">
                <c:v>Phone</c:v>
              </c:pt>
              <c:pt idx="7">
                <c:v>Printer</c:v>
              </c:pt>
              <c:pt idx="8">
                <c:v>Tablet</c:v>
              </c:pt>
              <c:pt idx="9">
                <c:v>Watch</c:v>
              </c:pt>
            </c:strLit>
          </c:cat>
          <c:val>
            <c:numLit>
              <c:formatCode>General</c:formatCode>
              <c:ptCount val="10"/>
              <c:pt idx="0">
                <c:v>5493.5400000000009</c:v>
              </c:pt>
              <c:pt idx="1">
                <c:v>10292.220000000001</c:v>
              </c:pt>
              <c:pt idx="2">
                <c:v>4708.68</c:v>
              </c:pt>
              <c:pt idx="3">
                <c:v>5437.3099999999995</c:v>
              </c:pt>
              <c:pt idx="4">
                <c:v>12991.910000000002</c:v>
              </c:pt>
              <c:pt idx="5">
                <c:v>6309.16</c:v>
              </c:pt>
              <c:pt idx="6">
                <c:v>5349.42</c:v>
              </c:pt>
              <c:pt idx="7">
                <c:v>7577.72</c:v>
              </c:pt>
              <c:pt idx="8">
                <c:v>3581.2200000000003</c:v>
              </c:pt>
              <c:pt idx="9">
                <c:v>9982.5300000000007</c:v>
              </c:pt>
            </c:numLit>
          </c:val>
          <c:smooth val="0"/>
        </c:ser>
        <c:dLbls>
          <c:showLegendKey val="0"/>
          <c:showVal val="0"/>
          <c:showCatName val="0"/>
          <c:showSerName val="0"/>
          <c:showPercent val="0"/>
          <c:showBubbleSize val="0"/>
        </c:dLbls>
        <c:marker val="1"/>
        <c:smooth val="0"/>
        <c:axId val="80703440"/>
        <c:axId val="80691472"/>
      </c:lineChart>
      <c:catAx>
        <c:axId val="807034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80691472"/>
        <c:crosses val="autoZero"/>
        <c:auto val="1"/>
        <c:lblAlgn val="ctr"/>
        <c:lblOffset val="100"/>
        <c:noMultiLvlLbl val="0"/>
      </c:catAx>
      <c:valAx>
        <c:axId val="806914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807034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GB"/>
              <a:t>Time-based Sales Trend</a:t>
            </a:r>
          </a:p>
        </c:rich>
      </c:tx>
      <c:layout/>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w="22225" cap="rnd">
            <a:solidFill>
              <a:schemeClr val="accent4"/>
            </a:solidFill>
            <a:round/>
          </a:ln>
          <a:effectLst/>
        </c:spPr>
        <c:marker>
          <c:spPr>
            <a:solidFill>
              <a:schemeClr val="accent4"/>
            </a:solidFill>
            <a:ln w="9525">
              <a:solidFill>
                <a:schemeClr val="accent4"/>
              </a:solidFill>
              <a:round/>
            </a:ln>
            <a:effectLst/>
          </c:spPr>
        </c:marker>
      </c:pivotFmt>
      <c:pivotFmt>
        <c:idx val="3"/>
        <c:spPr>
          <a:solidFill>
            <a:schemeClr val="accent4"/>
          </a:solidFill>
          <a:ln w="22225" cap="rnd">
            <a:solidFill>
              <a:schemeClr val="accent4"/>
            </a:solidFill>
            <a:round/>
          </a:ln>
          <a:effectLst/>
        </c:spPr>
        <c:marker>
          <c:spPr>
            <a:solidFill>
              <a:schemeClr val="accent4"/>
            </a:solidFill>
            <a:ln w="9525">
              <a:solidFill>
                <a:schemeClr val="accent4"/>
              </a:solidFill>
              <a:round/>
            </a:ln>
            <a:effectLst/>
          </c:spPr>
        </c:marker>
      </c:pivotFmt>
    </c:pivotFmts>
    <c:plotArea>
      <c:layout/>
      <c:lineChart>
        <c:grouping val="standard"/>
        <c:varyColors val="0"/>
        <c:ser>
          <c:idx val="1"/>
          <c:order val="0"/>
          <c:tx>
            <c:v>Sum of Selling Price</c:v>
          </c:tx>
          <c:spPr>
            <a:ln w="22225" cap="rnd">
              <a:solidFill>
                <a:schemeClr val="accent4">
                  <a:tint val="77000"/>
                </a:schemeClr>
              </a:solidFill>
              <a:round/>
            </a:ln>
            <a:effectLst/>
          </c:spPr>
          <c:marker>
            <c:symbol val="square"/>
            <c:size val="6"/>
            <c:spPr>
              <a:solidFill>
                <a:schemeClr val="accent4">
                  <a:tint val="77000"/>
                </a:schemeClr>
              </a:solidFill>
              <a:ln w="9525">
                <a:solidFill>
                  <a:schemeClr val="accent4">
                    <a:tint val="77000"/>
                  </a:schemeClr>
                </a:solidFill>
                <a:round/>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6694.8899999999994</c:v>
              </c:pt>
              <c:pt idx="1">
                <c:v>8345.3200000000015</c:v>
              </c:pt>
              <c:pt idx="2">
                <c:v>7295.65</c:v>
              </c:pt>
              <c:pt idx="3">
                <c:v>6257.6400000000012</c:v>
              </c:pt>
              <c:pt idx="4">
                <c:v>7151.2999999999993</c:v>
              </c:pt>
              <c:pt idx="5">
                <c:v>4815.63</c:v>
              </c:pt>
              <c:pt idx="6">
                <c:v>6149.4000000000005</c:v>
              </c:pt>
              <c:pt idx="7">
                <c:v>4929.8499999999995</c:v>
              </c:pt>
              <c:pt idx="8">
                <c:v>4551.93</c:v>
              </c:pt>
              <c:pt idx="9">
                <c:v>4798.63</c:v>
              </c:pt>
              <c:pt idx="10">
                <c:v>6450.12</c:v>
              </c:pt>
              <c:pt idx="11">
                <c:v>4283.3500000000004</c:v>
              </c:pt>
            </c:numLit>
          </c:val>
          <c:smooth val="0"/>
        </c:ser>
        <c:dLbls>
          <c:showLegendKey val="0"/>
          <c:showVal val="0"/>
          <c:showCatName val="0"/>
          <c:showSerName val="0"/>
          <c:showPercent val="0"/>
          <c:showBubbleSize val="0"/>
        </c:dLbls>
        <c:marker val="1"/>
        <c:smooth val="0"/>
        <c:axId val="226663648"/>
        <c:axId val="226658752"/>
      </c:lineChart>
      <c:catAx>
        <c:axId val="22666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26658752"/>
        <c:crosses val="autoZero"/>
        <c:auto val="1"/>
        <c:lblAlgn val="ctr"/>
        <c:lblOffset val="100"/>
        <c:noMultiLvlLbl val="0"/>
      </c:catAx>
      <c:valAx>
        <c:axId val="22665875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26663648"/>
        <c:crosses val="autoZero"/>
        <c:crossBetween val="between"/>
      </c:valAx>
      <c:spPr>
        <a:noFill/>
        <a:ln w="25400">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GB"/>
              <a:t>Revenue Share by Sales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s>
    <c:plotArea>
      <c:layout>
        <c:manualLayout>
          <c:layoutTarget val="inner"/>
          <c:xMode val="edge"/>
          <c:yMode val="edge"/>
          <c:x val="0.21400393700787404"/>
          <c:y val="0.24939596092155147"/>
          <c:w val="0.41147353455818025"/>
          <c:h val="0.68578922426363376"/>
        </c:manualLayout>
      </c:layout>
      <c:pieChart>
        <c:varyColors val="1"/>
        <c:ser>
          <c:idx val="0"/>
          <c:order val="0"/>
          <c:tx>
            <c:v>Total</c:v>
          </c:tx>
          <c:dPt>
            <c:idx val="0"/>
            <c:bubble3D val="0"/>
            <c:spPr>
              <a:solidFill>
                <a:schemeClr val="accent4">
                  <a:shade val="58000"/>
                </a:schemeClr>
              </a:solidFill>
              <a:ln>
                <a:noFill/>
              </a:ln>
              <a:effectLst/>
            </c:spPr>
          </c:dPt>
          <c:dPt>
            <c:idx val="1"/>
            <c:bubble3D val="0"/>
            <c:spPr>
              <a:solidFill>
                <a:schemeClr val="accent4">
                  <a:shade val="86000"/>
                </a:schemeClr>
              </a:solidFill>
              <a:ln>
                <a:noFill/>
              </a:ln>
              <a:effectLst/>
            </c:spPr>
          </c:dPt>
          <c:dPt>
            <c:idx val="2"/>
            <c:bubble3D val="0"/>
            <c:spPr>
              <a:solidFill>
                <a:schemeClr val="accent4">
                  <a:tint val="86000"/>
                </a:schemeClr>
              </a:solidFill>
              <a:ln>
                <a:noFill/>
              </a:ln>
              <a:effectLst/>
            </c:spPr>
          </c:dPt>
          <c:dPt>
            <c:idx val="3"/>
            <c:bubble3D val="0"/>
            <c:spPr>
              <a:solidFill>
                <a:schemeClr val="accent4">
                  <a:tint val="58000"/>
                </a:schemeClr>
              </a:solidFill>
              <a:ln>
                <a:noFill/>
              </a:ln>
              <a:effectLst/>
            </c:spPr>
          </c:dPt>
          <c:cat>
            <c:strLit>
              <c:ptCount val="4"/>
              <c:pt idx="0">
                <c:v>Direct</c:v>
              </c:pt>
              <c:pt idx="1">
                <c:v>Online</c:v>
              </c:pt>
              <c:pt idx="2">
                <c:v>Retail</c:v>
              </c:pt>
              <c:pt idx="3">
                <c:v>Wholesale</c:v>
              </c:pt>
            </c:strLit>
          </c:cat>
          <c:val>
            <c:numLit>
              <c:formatCode>General</c:formatCode>
              <c:ptCount val="4"/>
              <c:pt idx="0">
                <c:v>20561.819999999996</c:v>
              </c:pt>
              <c:pt idx="1">
                <c:v>9525.6999999999989</c:v>
              </c:pt>
              <c:pt idx="2">
                <c:v>18610.420000000002</c:v>
              </c:pt>
              <c:pt idx="3">
                <c:v>23025.769999999997</c:v>
              </c:pt>
            </c:numLit>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GB"/>
              <a:t>Sales Performance: Actual vs. Target</a:t>
            </a:r>
          </a:p>
        </c:rich>
      </c:tx>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2.8589470058648501E-2"/>
          <c:y val="0.1278034805241651"/>
          <c:w val="0.95196946068254229"/>
          <c:h val="0.75970984728059732"/>
        </c:manualLayout>
      </c:layout>
      <c:barChart>
        <c:barDir val="col"/>
        <c:grouping val="clustered"/>
        <c:varyColors val="0"/>
        <c:ser>
          <c:idx val="0"/>
          <c:order val="0"/>
          <c:tx>
            <c:v>Jan</c:v>
          </c:tx>
          <c:spPr>
            <a:gradFill rotWithShape="1">
              <a:gsLst>
                <a:gs pos="0">
                  <a:schemeClr val="accent4">
                    <a:shade val="40000"/>
                    <a:shade val="51000"/>
                    <a:satMod val="130000"/>
                  </a:schemeClr>
                </a:gs>
                <a:gs pos="80000">
                  <a:schemeClr val="accent4">
                    <a:shade val="40000"/>
                    <a:shade val="93000"/>
                    <a:satMod val="130000"/>
                  </a:schemeClr>
                </a:gs>
                <a:gs pos="100000">
                  <a:schemeClr val="accent4">
                    <a:shade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Accessories</c:v>
              </c:pt>
              <c:pt idx="1">
                <c:v>Electronics</c:v>
              </c:pt>
              <c:pt idx="2">
                <c:v>Gadgets</c:v>
              </c:pt>
              <c:pt idx="3">
                <c:v>(blank)</c:v>
              </c:pt>
            </c:strLit>
          </c:cat>
          <c:val>
            <c:numLit>
              <c:formatCode>General</c:formatCode>
              <c:ptCount val="4"/>
              <c:pt idx="0">
                <c:v>25</c:v>
              </c:pt>
              <c:pt idx="1">
                <c:v>94</c:v>
              </c:pt>
              <c:pt idx="2">
                <c:v>98</c:v>
              </c:pt>
              <c:pt idx="3">
                <c:v>0</c:v>
              </c:pt>
            </c:numLit>
          </c:val>
        </c:ser>
        <c:ser>
          <c:idx val="1"/>
          <c:order val="1"/>
          <c:tx>
            <c:v>Feb</c:v>
          </c:tx>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Accessories</c:v>
              </c:pt>
              <c:pt idx="1">
                <c:v>Electronics</c:v>
              </c:pt>
              <c:pt idx="2">
                <c:v>Gadgets</c:v>
              </c:pt>
              <c:pt idx="3">
                <c:v>(blank)</c:v>
              </c:pt>
            </c:strLit>
          </c:cat>
          <c:val>
            <c:numLit>
              <c:formatCode>General</c:formatCode>
              <c:ptCount val="4"/>
              <c:pt idx="0">
                <c:v>60</c:v>
              </c:pt>
              <c:pt idx="1">
                <c:v>107</c:v>
              </c:pt>
              <c:pt idx="2">
                <c:v>63</c:v>
              </c:pt>
              <c:pt idx="3">
                <c:v>0</c:v>
              </c:pt>
            </c:numLit>
          </c:val>
        </c:ser>
        <c:ser>
          <c:idx val="2"/>
          <c:order val="2"/>
          <c:tx>
            <c:v>Mar</c:v>
          </c:tx>
          <c:spPr>
            <a:gradFill rotWithShape="1">
              <a:gsLst>
                <a:gs pos="0">
                  <a:schemeClr val="accent4">
                    <a:shade val="60000"/>
                    <a:shade val="51000"/>
                    <a:satMod val="130000"/>
                  </a:schemeClr>
                </a:gs>
                <a:gs pos="80000">
                  <a:schemeClr val="accent4">
                    <a:shade val="60000"/>
                    <a:shade val="93000"/>
                    <a:satMod val="130000"/>
                  </a:schemeClr>
                </a:gs>
                <a:gs pos="100000">
                  <a:schemeClr val="accent4">
                    <a:shade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Accessories</c:v>
              </c:pt>
              <c:pt idx="1">
                <c:v>Electronics</c:v>
              </c:pt>
              <c:pt idx="2">
                <c:v>Gadgets</c:v>
              </c:pt>
              <c:pt idx="3">
                <c:v>(blank)</c:v>
              </c:pt>
            </c:strLit>
          </c:cat>
          <c:val>
            <c:numLit>
              <c:formatCode>General</c:formatCode>
              <c:ptCount val="4"/>
              <c:pt idx="0">
                <c:v>48</c:v>
              </c:pt>
              <c:pt idx="1">
                <c:v>19</c:v>
              </c:pt>
              <c:pt idx="2">
                <c:v>99</c:v>
              </c:pt>
              <c:pt idx="3">
                <c:v>0</c:v>
              </c:pt>
            </c:numLit>
          </c:val>
        </c:ser>
        <c:ser>
          <c:idx val="3"/>
          <c:order val="3"/>
          <c:tx>
            <c:v>Apr</c:v>
          </c:tx>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Accessories</c:v>
              </c:pt>
              <c:pt idx="1">
                <c:v>Electronics</c:v>
              </c:pt>
              <c:pt idx="2">
                <c:v>Gadgets</c:v>
              </c:pt>
              <c:pt idx="3">
                <c:v>(blank)</c:v>
              </c:pt>
            </c:strLit>
          </c:cat>
          <c:val>
            <c:numLit>
              <c:formatCode>General</c:formatCode>
              <c:ptCount val="4"/>
              <c:pt idx="0">
                <c:v>87</c:v>
              </c:pt>
              <c:pt idx="1">
                <c:v>94</c:v>
              </c:pt>
              <c:pt idx="2">
                <c:v>44</c:v>
              </c:pt>
              <c:pt idx="3">
                <c:v>0</c:v>
              </c:pt>
            </c:numLit>
          </c:val>
        </c:ser>
        <c:ser>
          <c:idx val="4"/>
          <c:order val="4"/>
          <c:tx>
            <c:v>May</c:v>
          </c:tx>
          <c:spPr>
            <a:gradFill rotWithShape="1">
              <a:gsLst>
                <a:gs pos="0">
                  <a:schemeClr val="accent4">
                    <a:shade val="80000"/>
                    <a:shade val="51000"/>
                    <a:satMod val="130000"/>
                  </a:schemeClr>
                </a:gs>
                <a:gs pos="80000">
                  <a:schemeClr val="accent4">
                    <a:shade val="80000"/>
                    <a:shade val="93000"/>
                    <a:satMod val="130000"/>
                  </a:schemeClr>
                </a:gs>
                <a:gs pos="100000">
                  <a:schemeClr val="accent4">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Accessories</c:v>
              </c:pt>
              <c:pt idx="1">
                <c:v>Electronics</c:v>
              </c:pt>
              <c:pt idx="2">
                <c:v>Gadgets</c:v>
              </c:pt>
              <c:pt idx="3">
                <c:v>(blank)</c:v>
              </c:pt>
            </c:strLit>
          </c:cat>
          <c:val>
            <c:numLit>
              <c:formatCode>General</c:formatCode>
              <c:ptCount val="4"/>
              <c:pt idx="0">
                <c:v>75</c:v>
              </c:pt>
              <c:pt idx="1">
                <c:v>63</c:v>
              </c:pt>
              <c:pt idx="2">
                <c:v>63</c:v>
              </c:pt>
              <c:pt idx="3">
                <c:v>0</c:v>
              </c:pt>
            </c:numLit>
          </c:val>
        </c:ser>
        <c:ser>
          <c:idx val="5"/>
          <c:order val="5"/>
          <c:tx>
            <c:v>Jun</c:v>
          </c:tx>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Accessories</c:v>
              </c:pt>
              <c:pt idx="1">
                <c:v>Electronics</c:v>
              </c:pt>
              <c:pt idx="2">
                <c:v>Gadgets</c:v>
              </c:pt>
              <c:pt idx="3">
                <c:v>(blank)</c:v>
              </c:pt>
            </c:strLit>
          </c:cat>
          <c:val>
            <c:numLit>
              <c:formatCode>General</c:formatCode>
              <c:ptCount val="4"/>
              <c:pt idx="0">
                <c:v>102</c:v>
              </c:pt>
              <c:pt idx="1">
                <c:v>24</c:v>
              </c:pt>
              <c:pt idx="2">
                <c:v>119</c:v>
              </c:pt>
              <c:pt idx="3">
                <c:v>0</c:v>
              </c:pt>
            </c:numLit>
          </c:val>
        </c:ser>
        <c:ser>
          <c:idx val="6"/>
          <c:order val="6"/>
          <c:tx>
            <c:v>Jul</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Accessories</c:v>
              </c:pt>
              <c:pt idx="1">
                <c:v>Electronics</c:v>
              </c:pt>
              <c:pt idx="2">
                <c:v>Gadgets</c:v>
              </c:pt>
              <c:pt idx="3">
                <c:v>(blank)</c:v>
              </c:pt>
            </c:strLit>
          </c:cat>
          <c:val>
            <c:numLit>
              <c:formatCode>General</c:formatCode>
              <c:ptCount val="4"/>
              <c:pt idx="0">
                <c:v>28</c:v>
              </c:pt>
              <c:pt idx="1">
                <c:v>70</c:v>
              </c:pt>
              <c:pt idx="2">
                <c:v>106</c:v>
              </c:pt>
              <c:pt idx="3">
                <c:v>0</c:v>
              </c:pt>
            </c:numLit>
          </c:val>
        </c:ser>
        <c:dLbls>
          <c:showLegendKey val="0"/>
          <c:showVal val="0"/>
          <c:showCatName val="0"/>
          <c:showSerName val="0"/>
          <c:showPercent val="0"/>
          <c:showBubbleSize val="0"/>
        </c:dLbls>
        <c:gapWidth val="100"/>
        <c:axId val="226660384"/>
        <c:axId val="226665280"/>
      </c:barChart>
      <c:lineChart>
        <c:grouping val="standard"/>
        <c:varyColors val="0"/>
        <c:ser>
          <c:idx val="7"/>
          <c:order val="7"/>
          <c:tx>
            <c:v>Aug</c:v>
          </c:tx>
          <c:spPr>
            <a:ln w="34925" cap="rnd">
              <a:solidFill>
                <a:schemeClr val="accent4">
                  <a:tint val="90000"/>
                </a:schemeClr>
              </a:solidFill>
              <a:round/>
            </a:ln>
            <a:effectLst>
              <a:outerShdw blurRad="40000" dist="23000" dir="5400000" rotWithShape="0">
                <a:srgbClr val="000000">
                  <a:alpha val="35000"/>
                </a:srgbClr>
              </a:outerShdw>
            </a:effectLst>
          </c:spPr>
          <c:marker>
            <c:symbol val="none"/>
          </c:marker>
          <c:cat>
            <c:strLit>
              <c:ptCount val="4"/>
              <c:pt idx="0">
                <c:v>Accessories</c:v>
              </c:pt>
              <c:pt idx="1">
                <c:v>Electronics</c:v>
              </c:pt>
              <c:pt idx="2">
                <c:v>Gadgets</c:v>
              </c:pt>
              <c:pt idx="3">
                <c:v>(blank)</c:v>
              </c:pt>
            </c:strLit>
          </c:cat>
          <c:val>
            <c:numLit>
              <c:formatCode>General</c:formatCode>
              <c:ptCount val="4"/>
              <c:pt idx="0">
                <c:v>5</c:v>
              </c:pt>
              <c:pt idx="1">
                <c:v>55</c:v>
              </c:pt>
              <c:pt idx="2">
                <c:v>111</c:v>
              </c:pt>
              <c:pt idx="3">
                <c:v>0</c:v>
              </c:pt>
            </c:numLit>
          </c:val>
          <c:smooth val="0"/>
        </c:ser>
        <c:ser>
          <c:idx val="8"/>
          <c:order val="8"/>
          <c:tx>
            <c:v>Sep</c:v>
          </c:tx>
          <c:spPr>
            <a:ln w="34925" cap="rnd">
              <a:solidFill>
                <a:schemeClr val="accent4">
                  <a:tint val="80000"/>
                </a:schemeClr>
              </a:solidFill>
              <a:round/>
            </a:ln>
            <a:effectLst>
              <a:outerShdw blurRad="40000" dist="23000" dir="5400000" rotWithShape="0">
                <a:srgbClr val="000000">
                  <a:alpha val="35000"/>
                </a:srgbClr>
              </a:outerShdw>
            </a:effectLst>
          </c:spPr>
          <c:marker>
            <c:symbol val="none"/>
          </c:marker>
          <c:cat>
            <c:strLit>
              <c:ptCount val="4"/>
              <c:pt idx="0">
                <c:v>Accessories</c:v>
              </c:pt>
              <c:pt idx="1">
                <c:v>Electronics</c:v>
              </c:pt>
              <c:pt idx="2">
                <c:v>Gadgets</c:v>
              </c:pt>
              <c:pt idx="3">
                <c:v>(blank)</c:v>
              </c:pt>
            </c:strLit>
          </c:cat>
          <c:val>
            <c:numLit>
              <c:formatCode>General</c:formatCode>
              <c:ptCount val="4"/>
              <c:pt idx="0">
                <c:v>57</c:v>
              </c:pt>
              <c:pt idx="1">
                <c:v>72</c:v>
              </c:pt>
              <c:pt idx="2">
                <c:v>67</c:v>
              </c:pt>
              <c:pt idx="3">
                <c:v>0</c:v>
              </c:pt>
            </c:numLit>
          </c:val>
          <c:smooth val="0"/>
        </c:ser>
        <c:ser>
          <c:idx val="9"/>
          <c:order val="9"/>
          <c:tx>
            <c:v>Oct</c:v>
          </c:tx>
          <c:spPr>
            <a:ln w="34925" cap="rnd">
              <a:solidFill>
                <a:schemeClr val="accent4">
                  <a:tint val="70000"/>
                </a:schemeClr>
              </a:solidFill>
              <a:round/>
            </a:ln>
            <a:effectLst>
              <a:outerShdw blurRad="40000" dist="23000" dir="5400000" rotWithShape="0">
                <a:srgbClr val="000000">
                  <a:alpha val="35000"/>
                </a:srgbClr>
              </a:outerShdw>
            </a:effectLst>
          </c:spPr>
          <c:marker>
            <c:symbol val="none"/>
          </c:marker>
          <c:cat>
            <c:strLit>
              <c:ptCount val="4"/>
              <c:pt idx="0">
                <c:v>Accessories</c:v>
              </c:pt>
              <c:pt idx="1">
                <c:v>Electronics</c:v>
              </c:pt>
              <c:pt idx="2">
                <c:v>Gadgets</c:v>
              </c:pt>
              <c:pt idx="3">
                <c:v>(blank)</c:v>
              </c:pt>
            </c:strLit>
          </c:cat>
          <c:val>
            <c:numLit>
              <c:formatCode>General</c:formatCode>
              <c:ptCount val="4"/>
              <c:pt idx="0">
                <c:v>42</c:v>
              </c:pt>
              <c:pt idx="1">
                <c:v>107</c:v>
              </c:pt>
              <c:pt idx="2">
                <c:v>11</c:v>
              </c:pt>
              <c:pt idx="3">
                <c:v>0</c:v>
              </c:pt>
            </c:numLit>
          </c:val>
          <c:smooth val="0"/>
        </c:ser>
        <c:ser>
          <c:idx val="10"/>
          <c:order val="10"/>
          <c:tx>
            <c:v>Nov</c:v>
          </c:tx>
          <c:spPr>
            <a:ln w="34925" cap="rnd">
              <a:solidFill>
                <a:schemeClr val="accent4">
                  <a:tint val="60000"/>
                </a:schemeClr>
              </a:solidFill>
              <a:round/>
            </a:ln>
            <a:effectLst>
              <a:outerShdw blurRad="40000" dist="23000" dir="5400000" rotWithShape="0">
                <a:srgbClr val="000000">
                  <a:alpha val="35000"/>
                </a:srgbClr>
              </a:outerShdw>
            </a:effectLst>
          </c:spPr>
          <c:marker>
            <c:symbol val="none"/>
          </c:marker>
          <c:cat>
            <c:strLit>
              <c:ptCount val="4"/>
              <c:pt idx="0">
                <c:v>Accessories</c:v>
              </c:pt>
              <c:pt idx="1">
                <c:v>Electronics</c:v>
              </c:pt>
              <c:pt idx="2">
                <c:v>Gadgets</c:v>
              </c:pt>
              <c:pt idx="3">
                <c:v>(blank)</c:v>
              </c:pt>
            </c:strLit>
          </c:cat>
          <c:val>
            <c:numLit>
              <c:formatCode>General</c:formatCode>
              <c:ptCount val="4"/>
              <c:pt idx="0">
                <c:v>40</c:v>
              </c:pt>
              <c:pt idx="1">
                <c:v>8</c:v>
              </c:pt>
              <c:pt idx="2">
                <c:v>90</c:v>
              </c:pt>
              <c:pt idx="3">
                <c:v>0</c:v>
              </c:pt>
            </c:numLit>
          </c:val>
          <c:smooth val="0"/>
        </c:ser>
        <c:ser>
          <c:idx val="11"/>
          <c:order val="11"/>
          <c:tx>
            <c:v>Dec</c:v>
          </c:tx>
          <c:spPr>
            <a:ln w="34925" cap="rnd">
              <a:solidFill>
                <a:schemeClr val="accent4">
                  <a:tint val="50000"/>
                </a:schemeClr>
              </a:solidFill>
              <a:round/>
            </a:ln>
            <a:effectLst>
              <a:outerShdw blurRad="40000" dist="23000" dir="5400000" rotWithShape="0">
                <a:srgbClr val="000000">
                  <a:alpha val="35000"/>
                </a:srgbClr>
              </a:outerShdw>
            </a:effectLst>
          </c:spPr>
          <c:marker>
            <c:symbol val="none"/>
          </c:marker>
          <c:cat>
            <c:strLit>
              <c:ptCount val="4"/>
              <c:pt idx="0">
                <c:v>Accessories</c:v>
              </c:pt>
              <c:pt idx="1">
                <c:v>Electronics</c:v>
              </c:pt>
              <c:pt idx="2">
                <c:v>Gadgets</c:v>
              </c:pt>
              <c:pt idx="3">
                <c:v>(blank)</c:v>
              </c:pt>
            </c:strLit>
          </c:cat>
          <c:val>
            <c:numLit>
              <c:formatCode>General</c:formatCode>
              <c:ptCount val="4"/>
              <c:pt idx="0">
                <c:v>63</c:v>
              </c:pt>
              <c:pt idx="1">
                <c:v>66</c:v>
              </c:pt>
              <c:pt idx="2">
                <c:v>129</c:v>
              </c:pt>
              <c:pt idx="3">
                <c:v>0</c:v>
              </c:pt>
            </c:numLit>
          </c:val>
          <c:smooth val="0"/>
        </c:ser>
        <c:ser>
          <c:idx val="12"/>
          <c:order val="12"/>
          <c:tx>
            <c:v>(blank)</c:v>
          </c:tx>
          <c:spPr>
            <a:ln w="34925" cap="rnd">
              <a:solidFill>
                <a:schemeClr val="accent4">
                  <a:tint val="40000"/>
                </a:schemeClr>
              </a:solidFill>
              <a:round/>
            </a:ln>
            <a:effectLst>
              <a:outerShdw blurRad="40000" dist="23000" dir="5400000" rotWithShape="0">
                <a:srgbClr val="000000">
                  <a:alpha val="35000"/>
                </a:srgbClr>
              </a:outerShdw>
            </a:effectLst>
          </c:spPr>
          <c:marker>
            <c:symbol val="none"/>
          </c:marker>
          <c:cat>
            <c:strLit>
              <c:ptCount val="4"/>
              <c:pt idx="0">
                <c:v>Accessories</c:v>
              </c:pt>
              <c:pt idx="1">
                <c:v>Electronics</c:v>
              </c:pt>
              <c:pt idx="2">
                <c:v>Gadgets</c:v>
              </c:pt>
              <c:pt idx="3">
                <c:v>(blank)</c:v>
              </c:pt>
            </c:strLit>
          </c:cat>
          <c:val>
            <c:numLit>
              <c:formatCode>General</c:formatCode>
              <c:ptCount val="4"/>
              <c:pt idx="0">
                <c:v>0</c:v>
              </c:pt>
              <c:pt idx="1">
                <c:v>0</c:v>
              </c:pt>
              <c:pt idx="2">
                <c:v>0</c:v>
              </c:pt>
              <c:pt idx="3">
                <c:v>0</c:v>
              </c:pt>
            </c:numLit>
          </c:val>
          <c:smooth val="0"/>
        </c:ser>
        <c:dLbls>
          <c:showLegendKey val="0"/>
          <c:showVal val="0"/>
          <c:showCatName val="0"/>
          <c:showSerName val="0"/>
          <c:showPercent val="0"/>
          <c:showBubbleSize val="0"/>
        </c:dLbls>
        <c:marker val="1"/>
        <c:smooth val="0"/>
        <c:axId val="226660384"/>
        <c:axId val="226665280"/>
      </c:lineChart>
      <c:catAx>
        <c:axId val="226660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26665280"/>
        <c:crosses val="autoZero"/>
        <c:auto val="1"/>
        <c:lblAlgn val="ctr"/>
        <c:lblOffset val="100"/>
        <c:noMultiLvlLbl val="0"/>
      </c:catAx>
      <c:valAx>
        <c:axId val="22666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266603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524403</xdr:colOff>
      <xdr:row>14</xdr:row>
      <xdr:rowOff>239713</xdr:rowOff>
    </xdr:from>
    <xdr:to>
      <xdr:col>15</xdr:col>
      <xdr:colOff>283103</xdr:colOff>
      <xdr:row>29</xdr:row>
      <xdr:rowOff>218017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120121</xdr:colOff>
      <xdr:row>49</xdr:row>
      <xdr:rowOff>19051</xdr:rowOff>
    </xdr:from>
    <xdr:to>
      <xdr:col>15</xdr:col>
      <xdr:colOff>463551</xdr:colOff>
      <xdr:row>63</xdr:row>
      <xdr:rowOff>232384</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6351</xdr:colOff>
      <xdr:row>67</xdr:row>
      <xdr:rowOff>28575</xdr:rowOff>
    </xdr:from>
    <xdr:to>
      <xdr:col>14</xdr:col>
      <xdr:colOff>1</xdr:colOff>
      <xdr:row>81</xdr:row>
      <xdr:rowOff>178409</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558519</xdr:colOff>
      <xdr:row>85</xdr:row>
      <xdr:rowOff>89724</xdr:rowOff>
    </xdr:from>
    <xdr:to>
      <xdr:col>11</xdr:col>
      <xdr:colOff>1120</xdr:colOff>
      <xdr:row>99</xdr:row>
      <xdr:rowOff>173412</xdr:rowOff>
    </xdr:to>
    <xdr:graphicFrame macro="">
      <xdr:nvGraphicFramePr>
        <xdr:cNvPr id="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562505</xdr:colOff>
      <xdr:row>32</xdr:row>
      <xdr:rowOff>15346</xdr:rowOff>
    </xdr:from>
    <xdr:to>
      <xdr:col>15</xdr:col>
      <xdr:colOff>323850</xdr:colOff>
      <xdr:row>47</xdr:row>
      <xdr:rowOff>91179</xdr:rowOff>
    </xdr:to>
    <xdr:graphicFrame macro="">
      <xdr:nvGraphicFramePr>
        <xdr:cNvPr id="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272182</xdr:colOff>
      <xdr:row>110</xdr:row>
      <xdr:rowOff>203438</xdr:rowOff>
    </xdr:from>
    <xdr:to>
      <xdr:col>15</xdr:col>
      <xdr:colOff>455705</xdr:colOff>
      <xdr:row>125</xdr:row>
      <xdr:rowOff>213285</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19050</xdr:colOff>
      <xdr:row>8</xdr:row>
      <xdr:rowOff>12701</xdr:rowOff>
    </xdr:from>
    <xdr:to>
      <xdr:col>7</xdr:col>
      <xdr:colOff>622300</xdr:colOff>
      <xdr:row>12</xdr:row>
      <xdr:rowOff>76701</xdr:rowOff>
    </xdr:to>
    <mc:AlternateContent xmlns:mc="http://schemas.openxmlformats.org/markup-compatibility/2006" xmlns:a14="http://schemas.microsoft.com/office/drawing/2010/main">
      <mc:Choice Requires="a14">
        <xdr:graphicFrame macro="">
          <xdr:nvGraphicFramePr>
            <xdr:cNvPr id="1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3350" y="2044701"/>
              <a:ext cx="10083800" cy="10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117762</xdr:colOff>
      <xdr:row>33</xdr:row>
      <xdr:rowOff>6415</xdr:rowOff>
    </xdr:from>
    <xdr:to>
      <xdr:col>2</xdr:col>
      <xdr:colOff>224365</xdr:colOff>
      <xdr:row>40</xdr:row>
      <xdr:rowOff>76201</xdr:rowOff>
    </xdr:to>
    <mc:AlternateContent xmlns:mc="http://schemas.openxmlformats.org/markup-compatibility/2006" xmlns:a14="http://schemas.microsoft.com/office/drawing/2010/main">
      <mc:Choice Requires="a14">
        <xdr:graphicFrame macro="">
          <xdr:nvGraphicFramePr>
            <xdr:cNvPr id="1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2062" y="8248715"/>
              <a:ext cx="2164003" cy="17779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565150</xdr:colOff>
      <xdr:row>59</xdr:row>
      <xdr:rowOff>31750</xdr:rowOff>
    </xdr:from>
    <xdr:to>
      <xdr:col>4</xdr:col>
      <xdr:colOff>633635</xdr:colOff>
      <xdr:row>62</xdr:row>
      <xdr:rowOff>146049</xdr:rowOff>
    </xdr:to>
    <mc:AlternateContent xmlns:mc="http://schemas.openxmlformats.org/markup-compatibility/2006" xmlns:a14="http://schemas.microsoft.com/office/drawing/2010/main">
      <mc:Choice Requires="a14">
        <xdr:graphicFrame macro="">
          <xdr:nvGraphicFramePr>
            <xdr:cNvPr id="15" name="Sales_Type"/>
            <xdr:cNvGraphicFramePr/>
          </xdr:nvGraphicFramePr>
          <xdr:xfrm>
            <a:off x="0" y="0"/>
            <a:ext cx="0" cy="0"/>
          </xdr:xfrm>
          <a:graphic>
            <a:graphicData uri="http://schemas.microsoft.com/office/drawing/2010/slicer">
              <sle:slicer xmlns:sle="http://schemas.microsoft.com/office/drawing/2010/slicer" name="Sales_Type"/>
            </a:graphicData>
          </a:graphic>
        </xdr:graphicFrame>
      </mc:Choice>
      <mc:Fallback xmlns="">
        <xdr:sp macro="" textlink="">
          <xdr:nvSpPr>
            <xdr:cNvPr id="0" name=""/>
            <xdr:cNvSpPr>
              <a:spLocks noTextEdit="1"/>
            </xdr:cNvSpPr>
          </xdr:nvSpPr>
          <xdr:spPr>
            <a:xfrm>
              <a:off x="565150" y="11715750"/>
              <a:ext cx="5295900" cy="876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xdr:colOff>
      <xdr:row>0</xdr:row>
      <xdr:rowOff>241300</xdr:rowOff>
    </xdr:from>
    <xdr:to>
      <xdr:col>7</xdr:col>
      <xdr:colOff>6107</xdr:colOff>
      <xdr:row>2</xdr:row>
      <xdr:rowOff>18317</xdr:rowOff>
    </xdr:to>
    <xdr:sp macro="" textlink="">
      <xdr:nvSpPr>
        <xdr:cNvPr id="16" name="Rounded Rectangle 15"/>
        <xdr:cNvSpPr/>
      </xdr:nvSpPr>
      <xdr:spPr>
        <a:xfrm>
          <a:off x="3571876" y="241300"/>
          <a:ext cx="3284904" cy="28990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8</xdr:col>
      <xdr:colOff>10884</xdr:colOff>
      <xdr:row>4</xdr:row>
      <xdr:rowOff>12700</xdr:rowOff>
    </xdr:from>
    <xdr:to>
      <xdr:col>10</xdr:col>
      <xdr:colOff>0</xdr:colOff>
      <xdr:row>6</xdr:row>
      <xdr:rowOff>20170</xdr:rowOff>
    </xdr:to>
    <xdr:sp macro="" textlink="">
      <xdr:nvSpPr>
        <xdr:cNvPr id="20" name="Rounded Rectangle 19"/>
        <xdr:cNvSpPr/>
      </xdr:nvSpPr>
      <xdr:spPr>
        <a:xfrm>
          <a:off x="7395934" y="1028700"/>
          <a:ext cx="1659166" cy="515470"/>
        </a:xfrm>
        <a:prstGeom prst="roundRect">
          <a:avLst/>
        </a:prstGeom>
        <a:noFill/>
        <a:ln>
          <a:solidFill>
            <a:schemeClr val="accent4">
              <a:lumMod val="75000"/>
            </a:schemeClr>
          </a:solidFill>
        </a:ln>
        <a:effectLst>
          <a:outerShdw blurRad="50800" dist="38100" dir="5400000" algn="t"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6350</xdr:colOff>
      <xdr:row>4</xdr:row>
      <xdr:rowOff>6350</xdr:rowOff>
    </xdr:from>
    <xdr:to>
      <xdr:col>7</xdr:col>
      <xdr:colOff>13821</xdr:colOff>
      <xdr:row>6</xdr:row>
      <xdr:rowOff>13820</xdr:rowOff>
    </xdr:to>
    <xdr:sp macro="" textlink="">
      <xdr:nvSpPr>
        <xdr:cNvPr id="21" name="Rounded Rectangle 20"/>
        <xdr:cNvSpPr/>
      </xdr:nvSpPr>
      <xdr:spPr>
        <a:xfrm>
          <a:off x="1835150" y="1593850"/>
          <a:ext cx="1226671" cy="534520"/>
        </a:xfrm>
        <a:prstGeom prst="roundRect">
          <a:avLst/>
        </a:prstGeom>
        <a:noFill/>
        <a:ln>
          <a:solidFill>
            <a:schemeClr val="accent4">
              <a:lumMod val="75000"/>
            </a:schemeClr>
          </a:solidFill>
        </a:ln>
        <a:effectLst>
          <a:outerShdw blurRad="50800" dist="38100" dir="5400000" algn="t"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2</xdr:col>
      <xdr:colOff>14942</xdr:colOff>
      <xdr:row>4</xdr:row>
      <xdr:rowOff>1</xdr:rowOff>
    </xdr:from>
    <xdr:to>
      <xdr:col>4</xdr:col>
      <xdr:colOff>14943</xdr:colOff>
      <xdr:row>6</xdr:row>
      <xdr:rowOff>7471</xdr:rowOff>
    </xdr:to>
    <xdr:sp macro="" textlink="">
      <xdr:nvSpPr>
        <xdr:cNvPr id="23" name="Rounded Rectangle 22"/>
        <xdr:cNvSpPr/>
      </xdr:nvSpPr>
      <xdr:spPr>
        <a:xfrm>
          <a:off x="4282142" y="1587501"/>
          <a:ext cx="1219201" cy="534520"/>
        </a:xfrm>
        <a:prstGeom prst="roundRect">
          <a:avLst/>
        </a:prstGeom>
        <a:noFill/>
        <a:ln>
          <a:solidFill>
            <a:schemeClr val="accent4">
              <a:lumMod val="75000"/>
            </a:schemeClr>
          </a:solidFill>
        </a:ln>
        <a:effectLst>
          <a:outerShdw blurRad="50800" dist="38100" dir="5400000" algn="t"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909.846027083331" createdVersion="5" refreshedVersion="5" minRefreshableVersion="3" recordCount="100">
  <cacheSource type="worksheet">
    <worksheetSource name="Table1"/>
  </cacheSource>
  <cacheFields count="12">
    <cacheField name="ProductID" numFmtId="0">
      <sharedItems count="1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haredItems>
    </cacheField>
    <cacheField name="Product" numFmtId="0">
      <sharedItems count="10">
        <s v="Camera"/>
        <s v="Watch"/>
        <s v="Printer"/>
        <s v="Mouse"/>
        <s v="Headphones"/>
        <s v="Tablet"/>
        <s v="Phone"/>
        <s v="Keyboard"/>
        <s v="Monitor"/>
        <s v="Laptop"/>
      </sharedItems>
    </cacheField>
    <cacheField name="Category" numFmtId="0">
      <sharedItems count="3">
        <s v="Accessories"/>
        <s v="Electronics"/>
        <s v="Gadgets"/>
      </sharedItems>
    </cacheField>
    <cacheField name="UDM" numFmtId="0">
      <sharedItems count="4">
        <s v="Pack"/>
        <s v="Piece"/>
        <s v="Box"/>
        <s v="Unit"/>
      </sharedItems>
    </cacheField>
    <cacheField name="Buying Price" numFmtId="164">
      <sharedItems containsSemiMixedTypes="0" containsString="0" containsNumber="1" minValue="101.5" maxValue="976.19"/>
    </cacheField>
    <cacheField name="Selling Price" numFmtId="164">
      <sharedItems containsSemiMixedTypes="0" containsString="0" containsNumber="1" minValue="112.13" maxValue="1438.53"/>
    </cacheField>
    <cacheField name="Quantity" numFmtId="0">
      <sharedItems containsSemiMixedTypes="0" containsString="0" containsNumber="1" containsInteger="1" minValue="1" maxValue="50" count="40">
        <n v="4"/>
        <n v="34"/>
        <n v="14"/>
        <n v="10"/>
        <n v="24"/>
        <n v="40"/>
        <n v="20"/>
        <n v="26"/>
        <n v="45"/>
        <n v="5"/>
        <n v="17"/>
        <n v="1"/>
        <n v="30"/>
        <n v="47"/>
        <n v="31"/>
        <n v="27"/>
        <n v="28"/>
        <n v="41"/>
        <n v="19"/>
        <n v="39"/>
        <n v="50"/>
        <n v="18"/>
        <n v="23"/>
        <n v="48"/>
        <n v="13"/>
        <n v="3"/>
        <n v="2"/>
        <n v="44"/>
        <n v="6"/>
        <n v="15"/>
        <n v="22"/>
        <n v="11"/>
        <n v="35"/>
        <n v="8"/>
        <n v="7"/>
        <n v="9"/>
        <n v="12"/>
        <n v="21"/>
        <n v="36"/>
        <n v="16"/>
      </sharedItems>
    </cacheField>
    <cacheField name="Sales_Type" numFmtId="0">
      <sharedItems count="4">
        <s v="Retail"/>
        <s v="Wholesale"/>
        <s v="Direct"/>
        <s v="Online"/>
      </sharedItems>
    </cacheField>
    <cacheField name="Discount" numFmtId="9">
      <sharedItems containsSemiMixedTypes="0" containsString="0" containsNumber="1" minValue="0.06" maxValue="0.3" count="25">
        <n v="0.18"/>
        <n v="0.25"/>
        <n v="0.12"/>
        <n v="7.0000000000000007E-2"/>
        <n v="0.21"/>
        <n v="0.1"/>
        <n v="0.28999999999999998"/>
        <n v="0.16"/>
        <n v="0.23"/>
        <n v="0.08"/>
        <n v="0.3"/>
        <n v="0.15"/>
        <n v="0.19"/>
        <n v="0.06"/>
        <n v="0.24"/>
        <n v="0.27"/>
        <n v="0.09"/>
        <n v="0.2"/>
        <n v="0.13"/>
        <n v="0.17"/>
        <n v="0.28000000000000003"/>
        <n v="0.11"/>
        <n v="0.22"/>
        <n v="0.26"/>
        <n v="0.14000000000000001"/>
      </sharedItems>
    </cacheField>
    <cacheField name="Day" numFmtId="0">
      <sharedItems containsSemiMixedTypes="0" containsString="0" containsNumber="1" containsInteger="1" minValue="1" maxValue="100"/>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1900" maxValue="1900" count="1">
        <n v="19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910.955666435184" createdVersion="5" refreshedVersion="5" minRefreshableVersion="3" recordCount="181">
  <cacheSource type="worksheet">
    <worksheetSource ref="A1:M1048576" sheet="Data"/>
  </cacheSource>
  <cacheFields count="13">
    <cacheField name="ProductID" numFmtId="0">
      <sharedItems containsBlank="1"/>
    </cacheField>
    <cacheField name="Product" numFmtId="0">
      <sharedItems containsBlank="1"/>
    </cacheField>
    <cacheField name="Category" numFmtId="0">
      <sharedItems containsBlank="1" count="4">
        <s v="Accessories"/>
        <s v="Electronics"/>
        <s v="Gadgets"/>
        <m/>
      </sharedItems>
    </cacheField>
    <cacheField name="UDM" numFmtId="0">
      <sharedItems containsBlank="1" count="5">
        <s v="Pack"/>
        <s v="Piece"/>
        <s v="Box"/>
        <s v="Unit"/>
        <m/>
      </sharedItems>
    </cacheField>
    <cacheField name="Buying Price" numFmtId="0">
      <sharedItems containsString="0" containsBlank="1" containsNumber="1" minValue="101.5" maxValue="976.19"/>
    </cacheField>
    <cacheField name="Selling Price" numFmtId="0">
      <sharedItems containsString="0" containsBlank="1" containsNumber="1" minValue="112.13" maxValue="1438.53"/>
    </cacheField>
    <cacheField name="Quantity" numFmtId="0">
      <sharedItems containsString="0" containsBlank="1" containsNumber="1" containsInteger="1" minValue="1" maxValue="50"/>
    </cacheField>
    <cacheField name="Sales_Type" numFmtId="0">
      <sharedItems containsBlank="1"/>
    </cacheField>
    <cacheField name="Discount" numFmtId="0">
      <sharedItems containsString="0" containsBlank="1" containsNumber="1" minValue="0.06" maxValue="0.3"/>
    </cacheField>
    <cacheField name="Day" numFmtId="0">
      <sharedItems containsString="0" containsBlank="1" containsNumber="1" containsInteger="1" minValue="1" maxValue="100"/>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1983" maxValue="2025"/>
    </cacheField>
    <cacheField name="Target" numFmtId="0">
      <sharedItems containsString="0" containsBlank="1" containsNumber="1" containsInteger="1" minValue="1" maxValue="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
  <r>
    <x v="0"/>
    <x v="0"/>
    <x v="0"/>
    <x v="0"/>
    <n v="532.94000000000005"/>
    <n v="651.42999999999995"/>
    <x v="0"/>
    <x v="0"/>
    <x v="0"/>
    <n v="1"/>
    <x v="0"/>
    <x v="0"/>
  </r>
  <r>
    <x v="1"/>
    <x v="1"/>
    <x v="1"/>
    <x v="1"/>
    <n v="784.68"/>
    <n v="1172.4100000000001"/>
    <x v="1"/>
    <x v="1"/>
    <x v="1"/>
    <n v="2"/>
    <x v="1"/>
    <x v="0"/>
  </r>
  <r>
    <x v="2"/>
    <x v="2"/>
    <x v="0"/>
    <x v="0"/>
    <n v="964.08"/>
    <n v="1426.05"/>
    <x v="2"/>
    <x v="1"/>
    <x v="2"/>
    <n v="3"/>
    <x v="2"/>
    <x v="0"/>
  </r>
  <r>
    <x v="3"/>
    <x v="3"/>
    <x v="2"/>
    <x v="2"/>
    <n v="387.68"/>
    <n v="461.01"/>
    <x v="3"/>
    <x v="2"/>
    <x v="3"/>
    <n v="4"/>
    <x v="3"/>
    <x v="0"/>
  </r>
  <r>
    <x v="4"/>
    <x v="4"/>
    <x v="0"/>
    <x v="2"/>
    <n v="756.91"/>
    <n v="1046.99"/>
    <x v="4"/>
    <x v="3"/>
    <x v="4"/>
    <n v="5"/>
    <x v="4"/>
    <x v="0"/>
  </r>
  <r>
    <x v="5"/>
    <x v="5"/>
    <x v="0"/>
    <x v="3"/>
    <n v="268.52"/>
    <n v="392.2"/>
    <x v="1"/>
    <x v="0"/>
    <x v="5"/>
    <n v="6"/>
    <x v="5"/>
    <x v="0"/>
  </r>
  <r>
    <x v="6"/>
    <x v="6"/>
    <x v="1"/>
    <x v="0"/>
    <n v="810.54"/>
    <n v="1176.99"/>
    <x v="5"/>
    <x v="2"/>
    <x v="6"/>
    <n v="7"/>
    <x v="6"/>
    <x v="0"/>
  </r>
  <r>
    <x v="7"/>
    <x v="1"/>
    <x v="2"/>
    <x v="2"/>
    <n v="111.38"/>
    <n v="160.35"/>
    <x v="6"/>
    <x v="0"/>
    <x v="7"/>
    <n v="8"/>
    <x v="7"/>
    <x v="0"/>
  </r>
  <r>
    <x v="8"/>
    <x v="3"/>
    <x v="0"/>
    <x v="2"/>
    <n v="643.63"/>
    <n v="807.09"/>
    <x v="4"/>
    <x v="1"/>
    <x v="8"/>
    <n v="9"/>
    <x v="8"/>
    <x v="0"/>
  </r>
  <r>
    <x v="9"/>
    <x v="2"/>
    <x v="2"/>
    <x v="2"/>
    <n v="387.21"/>
    <n v="440.29"/>
    <x v="3"/>
    <x v="1"/>
    <x v="9"/>
    <n v="10"/>
    <x v="9"/>
    <x v="0"/>
  </r>
  <r>
    <x v="10"/>
    <x v="7"/>
    <x v="2"/>
    <x v="1"/>
    <n v="272.02"/>
    <n v="315.64999999999998"/>
    <x v="0"/>
    <x v="2"/>
    <x v="10"/>
    <n v="11"/>
    <x v="10"/>
    <x v="0"/>
  </r>
  <r>
    <x v="11"/>
    <x v="0"/>
    <x v="1"/>
    <x v="3"/>
    <n v="251.48"/>
    <n v="322.93"/>
    <x v="7"/>
    <x v="3"/>
    <x v="11"/>
    <n v="12"/>
    <x v="11"/>
    <x v="0"/>
  </r>
  <r>
    <x v="12"/>
    <x v="5"/>
    <x v="2"/>
    <x v="0"/>
    <n v="336.11"/>
    <n v="494.74"/>
    <x v="8"/>
    <x v="0"/>
    <x v="2"/>
    <n v="13"/>
    <x v="0"/>
    <x v="0"/>
  </r>
  <r>
    <x v="13"/>
    <x v="8"/>
    <x v="0"/>
    <x v="1"/>
    <n v="682.87"/>
    <n v="804.27"/>
    <x v="9"/>
    <x v="2"/>
    <x v="12"/>
    <n v="14"/>
    <x v="1"/>
    <x v="0"/>
  </r>
  <r>
    <x v="14"/>
    <x v="7"/>
    <x v="0"/>
    <x v="3"/>
    <n v="269.48"/>
    <n v="363.64"/>
    <x v="10"/>
    <x v="0"/>
    <x v="13"/>
    <n v="15"/>
    <x v="2"/>
    <x v="0"/>
  </r>
  <r>
    <x v="15"/>
    <x v="9"/>
    <x v="1"/>
    <x v="0"/>
    <n v="584.78"/>
    <n v="725.14"/>
    <x v="11"/>
    <x v="1"/>
    <x v="14"/>
    <n v="16"/>
    <x v="3"/>
    <x v="0"/>
  </r>
  <r>
    <x v="16"/>
    <x v="0"/>
    <x v="0"/>
    <x v="2"/>
    <n v="677.61"/>
    <n v="800.58"/>
    <x v="8"/>
    <x v="1"/>
    <x v="15"/>
    <n v="17"/>
    <x v="4"/>
    <x v="0"/>
  </r>
  <r>
    <x v="17"/>
    <x v="2"/>
    <x v="1"/>
    <x v="0"/>
    <n v="739.22"/>
    <n v="1013.78"/>
    <x v="7"/>
    <x v="2"/>
    <x v="16"/>
    <n v="18"/>
    <x v="5"/>
    <x v="0"/>
  </r>
  <r>
    <x v="18"/>
    <x v="1"/>
    <x v="2"/>
    <x v="0"/>
    <n v="593.30999999999995"/>
    <n v="797.58"/>
    <x v="12"/>
    <x v="3"/>
    <x v="17"/>
    <n v="19"/>
    <x v="6"/>
    <x v="0"/>
  </r>
  <r>
    <x v="19"/>
    <x v="8"/>
    <x v="1"/>
    <x v="3"/>
    <n v="905.37"/>
    <n v="1242.9100000000001"/>
    <x v="13"/>
    <x v="0"/>
    <x v="18"/>
    <n v="20"/>
    <x v="7"/>
    <x v="0"/>
  </r>
  <r>
    <x v="20"/>
    <x v="7"/>
    <x v="1"/>
    <x v="3"/>
    <n v="685.15"/>
    <n v="897.44"/>
    <x v="14"/>
    <x v="2"/>
    <x v="19"/>
    <n v="21"/>
    <x v="8"/>
    <x v="0"/>
  </r>
  <r>
    <x v="21"/>
    <x v="8"/>
    <x v="0"/>
    <x v="3"/>
    <n v="860.1"/>
    <n v="1005.04"/>
    <x v="15"/>
    <x v="0"/>
    <x v="20"/>
    <n v="22"/>
    <x v="9"/>
    <x v="0"/>
  </r>
  <r>
    <x v="22"/>
    <x v="6"/>
    <x v="0"/>
    <x v="0"/>
    <n v="385.54"/>
    <n v="494.27"/>
    <x v="16"/>
    <x v="1"/>
    <x v="21"/>
    <n v="23"/>
    <x v="10"/>
    <x v="0"/>
  </r>
  <r>
    <x v="23"/>
    <x v="4"/>
    <x v="2"/>
    <x v="3"/>
    <n v="101.5"/>
    <n v="112.13"/>
    <x v="17"/>
    <x v="1"/>
    <x v="22"/>
    <n v="24"/>
    <x v="11"/>
    <x v="0"/>
  </r>
  <r>
    <x v="24"/>
    <x v="3"/>
    <x v="0"/>
    <x v="3"/>
    <n v="722.41"/>
    <n v="1018.81"/>
    <x v="4"/>
    <x v="2"/>
    <x v="23"/>
    <n v="25"/>
    <x v="0"/>
    <x v="0"/>
  </r>
  <r>
    <x v="25"/>
    <x v="3"/>
    <x v="0"/>
    <x v="2"/>
    <n v="720.52"/>
    <n v="896.12"/>
    <x v="18"/>
    <x v="3"/>
    <x v="10"/>
    <n v="26"/>
    <x v="1"/>
    <x v="0"/>
  </r>
  <r>
    <x v="26"/>
    <x v="2"/>
    <x v="2"/>
    <x v="2"/>
    <n v="518.99"/>
    <n v="750.9"/>
    <x v="6"/>
    <x v="0"/>
    <x v="11"/>
    <n v="27"/>
    <x v="2"/>
    <x v="0"/>
  </r>
  <r>
    <x v="27"/>
    <x v="0"/>
    <x v="2"/>
    <x v="2"/>
    <n v="115.07"/>
    <n v="129.5"/>
    <x v="19"/>
    <x v="2"/>
    <x v="0"/>
    <n v="28"/>
    <x v="3"/>
    <x v="0"/>
  </r>
  <r>
    <x v="28"/>
    <x v="2"/>
    <x v="2"/>
    <x v="3"/>
    <n v="239.88"/>
    <n v="291.02"/>
    <x v="5"/>
    <x v="0"/>
    <x v="3"/>
    <n v="29"/>
    <x v="4"/>
    <x v="0"/>
  </r>
  <r>
    <x v="29"/>
    <x v="6"/>
    <x v="0"/>
    <x v="2"/>
    <n v="166.23"/>
    <n v="205.45"/>
    <x v="20"/>
    <x v="1"/>
    <x v="1"/>
    <n v="30"/>
    <x v="5"/>
    <x v="0"/>
  </r>
  <r>
    <x v="30"/>
    <x v="4"/>
    <x v="1"/>
    <x v="0"/>
    <n v="727.56"/>
    <n v="965.42"/>
    <x v="5"/>
    <x v="1"/>
    <x v="12"/>
    <n v="31"/>
    <x v="6"/>
    <x v="0"/>
  </r>
  <r>
    <x v="31"/>
    <x v="2"/>
    <x v="2"/>
    <x v="0"/>
    <n v="504.85"/>
    <n v="660.43"/>
    <x v="6"/>
    <x v="2"/>
    <x v="8"/>
    <n v="32"/>
    <x v="7"/>
    <x v="0"/>
  </r>
  <r>
    <x v="32"/>
    <x v="1"/>
    <x v="2"/>
    <x v="0"/>
    <n v="236.45"/>
    <n v="277.83"/>
    <x v="21"/>
    <x v="3"/>
    <x v="5"/>
    <n v="33"/>
    <x v="8"/>
    <x v="0"/>
  </r>
  <r>
    <x v="33"/>
    <x v="3"/>
    <x v="1"/>
    <x v="1"/>
    <n v="407.01"/>
    <n v="570.79"/>
    <x v="9"/>
    <x v="0"/>
    <x v="24"/>
    <n v="34"/>
    <x v="9"/>
    <x v="0"/>
  </r>
  <r>
    <x v="34"/>
    <x v="5"/>
    <x v="2"/>
    <x v="3"/>
    <n v="560.26"/>
    <n v="796.46"/>
    <x v="22"/>
    <x v="2"/>
    <x v="9"/>
    <n v="35"/>
    <x v="10"/>
    <x v="0"/>
  </r>
  <r>
    <x v="35"/>
    <x v="2"/>
    <x v="0"/>
    <x v="2"/>
    <n v="230.83"/>
    <n v="308.33999999999997"/>
    <x v="5"/>
    <x v="0"/>
    <x v="6"/>
    <n v="36"/>
    <x v="11"/>
    <x v="0"/>
  </r>
  <r>
    <x v="36"/>
    <x v="3"/>
    <x v="1"/>
    <x v="3"/>
    <n v="727.71"/>
    <n v="1020.72"/>
    <x v="6"/>
    <x v="1"/>
    <x v="7"/>
    <n v="37"/>
    <x v="0"/>
    <x v="0"/>
  </r>
  <r>
    <x v="37"/>
    <x v="0"/>
    <x v="1"/>
    <x v="0"/>
    <n v="433.69"/>
    <n v="609.34"/>
    <x v="5"/>
    <x v="1"/>
    <x v="2"/>
    <n v="38"/>
    <x v="1"/>
    <x v="0"/>
  </r>
  <r>
    <x v="38"/>
    <x v="4"/>
    <x v="2"/>
    <x v="0"/>
    <n v="164.1"/>
    <n v="232.65"/>
    <x v="5"/>
    <x v="2"/>
    <x v="4"/>
    <n v="39"/>
    <x v="2"/>
    <x v="0"/>
  </r>
  <r>
    <x v="39"/>
    <x v="0"/>
    <x v="1"/>
    <x v="0"/>
    <n v="173.75"/>
    <n v="253.94"/>
    <x v="23"/>
    <x v="3"/>
    <x v="15"/>
    <n v="40"/>
    <x v="3"/>
    <x v="0"/>
  </r>
  <r>
    <x v="40"/>
    <x v="8"/>
    <x v="2"/>
    <x v="0"/>
    <n v="841.92"/>
    <n v="946.75"/>
    <x v="24"/>
    <x v="0"/>
    <x v="10"/>
    <n v="41"/>
    <x v="4"/>
    <x v="0"/>
  </r>
  <r>
    <x v="41"/>
    <x v="4"/>
    <x v="2"/>
    <x v="0"/>
    <n v="392.5"/>
    <n v="442.54"/>
    <x v="25"/>
    <x v="2"/>
    <x v="18"/>
    <n v="42"/>
    <x v="5"/>
    <x v="0"/>
  </r>
  <r>
    <x v="42"/>
    <x v="1"/>
    <x v="0"/>
    <x v="3"/>
    <n v="115.67"/>
    <n v="128.15"/>
    <x v="26"/>
    <x v="0"/>
    <x v="16"/>
    <n v="43"/>
    <x v="6"/>
    <x v="0"/>
  </r>
  <r>
    <x v="43"/>
    <x v="8"/>
    <x v="2"/>
    <x v="1"/>
    <n v="450.82"/>
    <n v="641.75"/>
    <x v="5"/>
    <x v="1"/>
    <x v="14"/>
    <n v="44"/>
    <x v="7"/>
    <x v="0"/>
  </r>
  <r>
    <x v="44"/>
    <x v="6"/>
    <x v="1"/>
    <x v="3"/>
    <n v="206.69"/>
    <n v="245.46"/>
    <x v="27"/>
    <x v="1"/>
    <x v="11"/>
    <n v="45"/>
    <x v="8"/>
    <x v="0"/>
  </r>
  <r>
    <x v="45"/>
    <x v="8"/>
    <x v="0"/>
    <x v="0"/>
    <n v="411.41"/>
    <n v="490.86"/>
    <x v="28"/>
    <x v="2"/>
    <x v="20"/>
    <n v="46"/>
    <x v="9"/>
    <x v="0"/>
  </r>
  <r>
    <x v="46"/>
    <x v="1"/>
    <x v="2"/>
    <x v="2"/>
    <n v="577.64"/>
    <n v="650.11"/>
    <x v="10"/>
    <x v="3"/>
    <x v="12"/>
    <n v="47"/>
    <x v="10"/>
    <x v="0"/>
  </r>
  <r>
    <x v="47"/>
    <x v="9"/>
    <x v="2"/>
    <x v="3"/>
    <n v="671.88"/>
    <n v="857"/>
    <x v="15"/>
    <x v="0"/>
    <x v="22"/>
    <n v="48"/>
    <x v="11"/>
    <x v="0"/>
  </r>
  <r>
    <x v="48"/>
    <x v="4"/>
    <x v="2"/>
    <x v="2"/>
    <n v="188.18"/>
    <n v="254.28"/>
    <x v="29"/>
    <x v="2"/>
    <x v="13"/>
    <n v="49"/>
    <x v="0"/>
    <x v="0"/>
  </r>
  <r>
    <x v="49"/>
    <x v="7"/>
    <x v="0"/>
    <x v="1"/>
    <n v="412.59"/>
    <n v="609.51"/>
    <x v="5"/>
    <x v="0"/>
    <x v="17"/>
    <n v="50"/>
    <x v="1"/>
    <x v="0"/>
  </r>
  <r>
    <x v="50"/>
    <x v="3"/>
    <x v="0"/>
    <x v="1"/>
    <n v="303.97000000000003"/>
    <n v="421.89"/>
    <x v="11"/>
    <x v="1"/>
    <x v="2"/>
    <n v="51"/>
    <x v="2"/>
    <x v="0"/>
  </r>
  <r>
    <x v="51"/>
    <x v="9"/>
    <x v="0"/>
    <x v="1"/>
    <n v="976.19"/>
    <n v="1265.92"/>
    <x v="16"/>
    <x v="1"/>
    <x v="21"/>
    <n v="52"/>
    <x v="3"/>
    <x v="0"/>
  </r>
  <r>
    <x v="52"/>
    <x v="3"/>
    <x v="1"/>
    <x v="1"/>
    <n v="942.54"/>
    <n v="1112.73"/>
    <x v="27"/>
    <x v="2"/>
    <x v="1"/>
    <n v="53"/>
    <x v="4"/>
    <x v="0"/>
  </r>
  <r>
    <x v="53"/>
    <x v="2"/>
    <x v="2"/>
    <x v="3"/>
    <n v="918.51"/>
    <n v="1166.3599999999999"/>
    <x v="20"/>
    <x v="3"/>
    <x v="19"/>
    <n v="54"/>
    <x v="5"/>
    <x v="0"/>
  </r>
  <r>
    <x v="54"/>
    <x v="1"/>
    <x v="2"/>
    <x v="0"/>
    <n v="561.91999999999996"/>
    <n v="774.4"/>
    <x v="30"/>
    <x v="0"/>
    <x v="24"/>
    <n v="55"/>
    <x v="6"/>
    <x v="0"/>
  </r>
  <r>
    <x v="55"/>
    <x v="2"/>
    <x v="2"/>
    <x v="0"/>
    <n v="809.74"/>
    <n v="993.47"/>
    <x v="1"/>
    <x v="2"/>
    <x v="10"/>
    <n v="56"/>
    <x v="7"/>
    <x v="0"/>
  </r>
  <r>
    <x v="56"/>
    <x v="6"/>
    <x v="0"/>
    <x v="1"/>
    <n v="448.93"/>
    <n v="638.32000000000005"/>
    <x v="31"/>
    <x v="0"/>
    <x v="5"/>
    <n v="57"/>
    <x v="8"/>
    <x v="0"/>
  </r>
  <r>
    <x v="57"/>
    <x v="1"/>
    <x v="1"/>
    <x v="2"/>
    <n v="840.09"/>
    <n v="1032.06"/>
    <x v="20"/>
    <x v="1"/>
    <x v="6"/>
    <n v="58"/>
    <x v="9"/>
    <x v="0"/>
  </r>
  <r>
    <x v="58"/>
    <x v="1"/>
    <x v="0"/>
    <x v="2"/>
    <n v="820.79"/>
    <n v="1203.6300000000001"/>
    <x v="28"/>
    <x v="1"/>
    <x v="8"/>
    <n v="59"/>
    <x v="10"/>
    <x v="0"/>
  </r>
  <r>
    <x v="59"/>
    <x v="8"/>
    <x v="1"/>
    <x v="1"/>
    <n v="743.91"/>
    <n v="1030.6300000000001"/>
    <x v="19"/>
    <x v="2"/>
    <x v="11"/>
    <n v="60"/>
    <x v="11"/>
    <x v="0"/>
  </r>
  <r>
    <x v="60"/>
    <x v="1"/>
    <x v="1"/>
    <x v="0"/>
    <n v="845.63"/>
    <n v="1137.55"/>
    <x v="32"/>
    <x v="3"/>
    <x v="0"/>
    <n v="61"/>
    <x v="0"/>
    <x v="0"/>
  </r>
  <r>
    <x v="61"/>
    <x v="4"/>
    <x v="2"/>
    <x v="0"/>
    <n v="725.55"/>
    <n v="1074.6500000000001"/>
    <x v="5"/>
    <x v="0"/>
    <x v="15"/>
    <n v="62"/>
    <x v="1"/>
    <x v="0"/>
  </r>
  <r>
    <x v="62"/>
    <x v="4"/>
    <x v="0"/>
    <x v="0"/>
    <n v="722.21"/>
    <n v="906.22"/>
    <x v="18"/>
    <x v="2"/>
    <x v="16"/>
    <n v="63"/>
    <x v="2"/>
    <x v="0"/>
  </r>
  <r>
    <x v="63"/>
    <x v="9"/>
    <x v="0"/>
    <x v="3"/>
    <n v="208.23"/>
    <n v="283.72000000000003"/>
    <x v="30"/>
    <x v="0"/>
    <x v="4"/>
    <n v="64"/>
    <x v="3"/>
    <x v="0"/>
  </r>
  <r>
    <x v="64"/>
    <x v="8"/>
    <x v="0"/>
    <x v="0"/>
    <n v="971.52"/>
    <n v="1430.95"/>
    <x v="33"/>
    <x v="1"/>
    <x v="7"/>
    <n v="65"/>
    <x v="4"/>
    <x v="0"/>
  </r>
  <r>
    <x v="65"/>
    <x v="5"/>
    <x v="2"/>
    <x v="2"/>
    <n v="340.79"/>
    <n v="485.82"/>
    <x v="15"/>
    <x v="1"/>
    <x v="12"/>
    <n v="66"/>
    <x v="5"/>
    <x v="0"/>
  </r>
  <r>
    <x v="66"/>
    <x v="4"/>
    <x v="0"/>
    <x v="3"/>
    <n v="409.19"/>
    <n v="606.34"/>
    <x v="34"/>
    <x v="2"/>
    <x v="3"/>
    <n v="67"/>
    <x v="6"/>
    <x v="0"/>
  </r>
  <r>
    <x v="67"/>
    <x v="5"/>
    <x v="1"/>
    <x v="3"/>
    <n v="297.04000000000002"/>
    <n v="402.86"/>
    <x v="3"/>
    <x v="3"/>
    <x v="20"/>
    <n v="68"/>
    <x v="7"/>
    <x v="0"/>
  </r>
  <r>
    <x v="68"/>
    <x v="4"/>
    <x v="2"/>
    <x v="0"/>
    <n v="410.38"/>
    <n v="520.98"/>
    <x v="11"/>
    <x v="0"/>
    <x v="18"/>
    <n v="69"/>
    <x v="8"/>
    <x v="0"/>
  </r>
  <r>
    <x v="69"/>
    <x v="8"/>
    <x v="0"/>
    <x v="0"/>
    <n v="409.65"/>
    <n v="457.13"/>
    <x v="35"/>
    <x v="2"/>
    <x v="17"/>
    <n v="70"/>
    <x v="9"/>
    <x v="0"/>
  </r>
  <r>
    <x v="70"/>
    <x v="1"/>
    <x v="2"/>
    <x v="1"/>
    <n v="794.99"/>
    <n v="1017.67"/>
    <x v="5"/>
    <x v="0"/>
    <x v="23"/>
    <n v="71"/>
    <x v="10"/>
    <x v="0"/>
  </r>
  <r>
    <x v="71"/>
    <x v="1"/>
    <x v="2"/>
    <x v="1"/>
    <n v="320.31"/>
    <n v="387.26"/>
    <x v="36"/>
    <x v="1"/>
    <x v="14"/>
    <n v="72"/>
    <x v="11"/>
    <x v="0"/>
  </r>
  <r>
    <x v="72"/>
    <x v="0"/>
    <x v="1"/>
    <x v="2"/>
    <n v="619.59"/>
    <n v="891.8"/>
    <x v="30"/>
    <x v="1"/>
    <x v="9"/>
    <n v="73"/>
    <x v="0"/>
    <x v="0"/>
  </r>
  <r>
    <x v="73"/>
    <x v="8"/>
    <x v="2"/>
    <x v="2"/>
    <n v="808.75"/>
    <n v="1212.97"/>
    <x v="37"/>
    <x v="2"/>
    <x v="6"/>
    <n v="74"/>
    <x v="1"/>
    <x v="0"/>
  </r>
  <r>
    <x v="74"/>
    <x v="1"/>
    <x v="2"/>
    <x v="3"/>
    <n v="603.29999999999995"/>
    <n v="732.41"/>
    <x v="21"/>
    <x v="3"/>
    <x v="22"/>
    <n v="75"/>
    <x v="2"/>
    <x v="0"/>
  </r>
  <r>
    <x v="75"/>
    <x v="0"/>
    <x v="1"/>
    <x v="0"/>
    <n v="788.32"/>
    <n v="883.02"/>
    <x v="6"/>
    <x v="0"/>
    <x v="21"/>
    <n v="76"/>
    <x v="3"/>
    <x v="0"/>
  </r>
  <r>
    <x v="76"/>
    <x v="4"/>
    <x v="2"/>
    <x v="1"/>
    <n v="705.23"/>
    <n v="995.2"/>
    <x v="31"/>
    <x v="2"/>
    <x v="1"/>
    <n v="77"/>
    <x v="4"/>
    <x v="0"/>
  </r>
  <r>
    <x v="77"/>
    <x v="4"/>
    <x v="2"/>
    <x v="3"/>
    <n v="493.49"/>
    <n v="598.36"/>
    <x v="5"/>
    <x v="0"/>
    <x v="2"/>
    <n v="78"/>
    <x v="5"/>
    <x v="0"/>
  </r>
  <r>
    <x v="78"/>
    <x v="9"/>
    <x v="0"/>
    <x v="0"/>
    <n v="473.5"/>
    <n v="650.54999999999995"/>
    <x v="21"/>
    <x v="1"/>
    <x v="10"/>
    <n v="79"/>
    <x v="6"/>
    <x v="0"/>
  </r>
  <r>
    <x v="79"/>
    <x v="0"/>
    <x v="2"/>
    <x v="1"/>
    <n v="351.35"/>
    <n v="453.34"/>
    <x v="9"/>
    <x v="1"/>
    <x v="24"/>
    <n v="80"/>
    <x v="7"/>
    <x v="0"/>
  </r>
  <r>
    <x v="80"/>
    <x v="9"/>
    <x v="2"/>
    <x v="1"/>
    <n v="311.93"/>
    <n v="400.88"/>
    <x v="19"/>
    <x v="2"/>
    <x v="0"/>
    <n v="81"/>
    <x v="8"/>
    <x v="0"/>
  </r>
  <r>
    <x v="81"/>
    <x v="7"/>
    <x v="1"/>
    <x v="2"/>
    <n v="212.47"/>
    <n v="304.8"/>
    <x v="16"/>
    <x v="3"/>
    <x v="15"/>
    <n v="82"/>
    <x v="9"/>
    <x v="0"/>
  </r>
  <r>
    <x v="82"/>
    <x v="7"/>
    <x v="0"/>
    <x v="3"/>
    <n v="619.84"/>
    <n v="911.75"/>
    <x v="36"/>
    <x v="0"/>
    <x v="12"/>
    <n v="83"/>
    <x v="10"/>
    <x v="0"/>
  </r>
  <r>
    <x v="83"/>
    <x v="7"/>
    <x v="0"/>
    <x v="0"/>
    <n v="213.7"/>
    <n v="255.92"/>
    <x v="29"/>
    <x v="2"/>
    <x v="13"/>
    <n v="84"/>
    <x v="11"/>
    <x v="0"/>
  </r>
  <r>
    <x v="84"/>
    <x v="6"/>
    <x v="2"/>
    <x v="3"/>
    <n v="249.7"/>
    <n v="333.54"/>
    <x v="38"/>
    <x v="0"/>
    <x v="8"/>
    <n v="85"/>
    <x v="0"/>
    <x v="0"/>
  </r>
  <r>
    <x v="85"/>
    <x v="9"/>
    <x v="1"/>
    <x v="1"/>
    <n v="945.59"/>
    <n v="1254.0999999999999"/>
    <x v="24"/>
    <x v="1"/>
    <x v="4"/>
    <n v="86"/>
    <x v="1"/>
    <x v="0"/>
  </r>
  <r>
    <x v="86"/>
    <x v="8"/>
    <x v="1"/>
    <x v="3"/>
    <n v="964.27"/>
    <n v="1438.53"/>
    <x v="39"/>
    <x v="1"/>
    <x v="5"/>
    <n v="87"/>
    <x v="2"/>
    <x v="0"/>
  </r>
  <r>
    <x v="87"/>
    <x v="6"/>
    <x v="1"/>
    <x v="0"/>
    <n v="856.38"/>
    <n v="1073.1600000000001"/>
    <x v="4"/>
    <x v="2"/>
    <x v="7"/>
    <n v="88"/>
    <x v="3"/>
    <x v="0"/>
  </r>
  <r>
    <x v="88"/>
    <x v="2"/>
    <x v="1"/>
    <x v="3"/>
    <n v="400.54"/>
    <n v="527.08000000000004"/>
    <x v="30"/>
    <x v="3"/>
    <x v="20"/>
    <n v="89"/>
    <x v="4"/>
    <x v="0"/>
  </r>
  <r>
    <x v="89"/>
    <x v="1"/>
    <x v="0"/>
    <x v="1"/>
    <n v="402.37"/>
    <n v="511.12"/>
    <x v="36"/>
    <x v="0"/>
    <x v="11"/>
    <n v="90"/>
    <x v="5"/>
    <x v="0"/>
  </r>
  <r>
    <x v="90"/>
    <x v="7"/>
    <x v="2"/>
    <x v="1"/>
    <n v="716.15"/>
    <n v="1049.97"/>
    <x v="20"/>
    <x v="2"/>
    <x v="16"/>
    <n v="91"/>
    <x v="6"/>
    <x v="0"/>
  </r>
  <r>
    <x v="91"/>
    <x v="8"/>
    <x v="0"/>
    <x v="0"/>
    <n v="250.96"/>
    <n v="374.74"/>
    <x v="9"/>
    <x v="0"/>
    <x v="10"/>
    <n v="92"/>
    <x v="7"/>
    <x v="0"/>
  </r>
  <r>
    <x v="92"/>
    <x v="4"/>
    <x v="0"/>
    <x v="1"/>
    <n v="513.24"/>
    <n v="763.93"/>
    <x v="30"/>
    <x v="1"/>
    <x v="14"/>
    <n v="93"/>
    <x v="8"/>
    <x v="0"/>
  </r>
  <r>
    <x v="93"/>
    <x v="0"/>
    <x v="1"/>
    <x v="3"/>
    <n v="403.97"/>
    <n v="497.66"/>
    <x v="18"/>
    <x v="1"/>
    <x v="2"/>
    <n v="94"/>
    <x v="9"/>
    <x v="0"/>
  </r>
  <r>
    <x v="94"/>
    <x v="4"/>
    <x v="1"/>
    <x v="3"/>
    <n v="711.97"/>
    <n v="1060.58"/>
    <x v="3"/>
    <x v="2"/>
    <x v="6"/>
    <n v="95"/>
    <x v="10"/>
    <x v="0"/>
  </r>
  <r>
    <x v="95"/>
    <x v="5"/>
    <x v="2"/>
    <x v="3"/>
    <n v="853.93"/>
    <n v="1009.14"/>
    <x v="8"/>
    <x v="3"/>
    <x v="19"/>
    <n v="96"/>
    <x v="11"/>
    <x v="0"/>
  </r>
  <r>
    <x v="96"/>
    <x v="8"/>
    <x v="1"/>
    <x v="0"/>
    <n v="680.81"/>
    <n v="892.02"/>
    <x v="36"/>
    <x v="0"/>
    <x v="17"/>
    <n v="97"/>
    <x v="0"/>
    <x v="0"/>
  </r>
  <r>
    <x v="97"/>
    <x v="4"/>
    <x v="1"/>
    <x v="1"/>
    <n v="549.61"/>
    <n v="711.95"/>
    <x v="33"/>
    <x v="2"/>
    <x v="22"/>
    <n v="98"/>
    <x v="1"/>
    <x v="0"/>
  </r>
  <r>
    <x v="98"/>
    <x v="8"/>
    <x v="2"/>
    <x v="1"/>
    <n v="777.2"/>
    <n v="1023.36"/>
    <x v="4"/>
    <x v="0"/>
    <x v="24"/>
    <n v="99"/>
    <x v="2"/>
    <x v="0"/>
  </r>
  <r>
    <x v="99"/>
    <x v="6"/>
    <x v="0"/>
    <x v="2"/>
    <n v="867.49"/>
    <n v="1182.23"/>
    <x v="32"/>
    <x v="1"/>
    <x v="1"/>
    <n v="100"/>
    <x v="3"/>
    <x v="0"/>
  </r>
</pivotCacheRecords>
</file>

<file path=xl/pivotCache/pivotCacheRecords2.xml><?xml version="1.0" encoding="utf-8"?>
<pivotCacheRecords xmlns="http://schemas.openxmlformats.org/spreadsheetml/2006/main" xmlns:r="http://schemas.openxmlformats.org/officeDocument/2006/relationships" count="181">
  <r>
    <s v="P001"/>
    <s v="Camera"/>
    <x v="0"/>
    <x v="0"/>
    <n v="532.94000000000005"/>
    <n v="651.42999999999995"/>
    <n v="4"/>
    <s v="Retail"/>
    <n v="0.18"/>
    <n v="1"/>
    <x v="0"/>
    <n v="2017"/>
    <n v="4"/>
  </r>
  <r>
    <s v="P002"/>
    <s v="Watch"/>
    <x v="1"/>
    <x v="1"/>
    <n v="784.68"/>
    <n v="1172.4100000000001"/>
    <n v="34"/>
    <s v="Wholesale"/>
    <n v="0.25"/>
    <n v="2"/>
    <x v="1"/>
    <n v="2018"/>
    <n v="39"/>
  </r>
  <r>
    <s v="P003"/>
    <s v="Printer"/>
    <x v="0"/>
    <x v="0"/>
    <n v="964.08"/>
    <n v="1426.05"/>
    <n v="14"/>
    <s v="Wholesale"/>
    <n v="0.12"/>
    <n v="3"/>
    <x v="2"/>
    <n v="2019"/>
    <n v="16"/>
  </r>
  <r>
    <s v="P004"/>
    <s v="Mouse"/>
    <x v="2"/>
    <x v="2"/>
    <n v="387.68"/>
    <n v="461.01"/>
    <n v="10"/>
    <s v="Direct"/>
    <n v="7.0000000000000007E-2"/>
    <n v="4"/>
    <x v="3"/>
    <n v="2020"/>
    <n v="8"/>
  </r>
  <r>
    <s v="P005"/>
    <s v="Headphones"/>
    <x v="0"/>
    <x v="2"/>
    <n v="756.91"/>
    <n v="1046.99"/>
    <n v="24"/>
    <s v="Online"/>
    <n v="0.21"/>
    <n v="5"/>
    <x v="4"/>
    <n v="2021"/>
    <n v="24"/>
  </r>
  <r>
    <s v="P006"/>
    <s v="Tablet"/>
    <x v="0"/>
    <x v="3"/>
    <n v="268.52"/>
    <n v="392.2"/>
    <n v="34"/>
    <s v="Retail"/>
    <n v="0.1"/>
    <n v="6"/>
    <x v="5"/>
    <n v="2022"/>
    <n v="32"/>
  </r>
  <r>
    <s v="P007"/>
    <s v="Phone"/>
    <x v="1"/>
    <x v="0"/>
    <n v="810.54"/>
    <n v="1176.99"/>
    <n v="40"/>
    <s v="Direct"/>
    <n v="0.28999999999999998"/>
    <n v="7"/>
    <x v="6"/>
    <n v="2023"/>
    <n v="34"/>
  </r>
  <r>
    <s v="P008"/>
    <s v="Watch"/>
    <x v="2"/>
    <x v="2"/>
    <n v="111.38"/>
    <n v="160.35"/>
    <n v="20"/>
    <s v="Retail"/>
    <n v="0.16"/>
    <n v="8"/>
    <x v="7"/>
    <n v="2024"/>
    <n v="16"/>
  </r>
  <r>
    <s v="P009"/>
    <s v="Mouse"/>
    <x v="0"/>
    <x v="2"/>
    <n v="643.63"/>
    <n v="807.09"/>
    <n v="24"/>
    <s v="Wholesale"/>
    <n v="0.23"/>
    <n v="9"/>
    <x v="8"/>
    <n v="2025"/>
    <n v="22"/>
  </r>
  <r>
    <s v="P010"/>
    <s v="Printer"/>
    <x v="2"/>
    <x v="2"/>
    <n v="387.21"/>
    <n v="440.29"/>
    <n v="10"/>
    <s v="Wholesale"/>
    <n v="0.08"/>
    <n v="10"/>
    <x v="9"/>
    <n v="2017"/>
    <n v="11"/>
  </r>
  <r>
    <s v="P011"/>
    <s v="Keyboard"/>
    <x v="2"/>
    <x v="1"/>
    <n v="272.02"/>
    <n v="315.64999999999998"/>
    <n v="4"/>
    <s v="Direct"/>
    <n v="0.3"/>
    <n v="11"/>
    <x v="10"/>
    <n v="2018"/>
    <n v="4"/>
  </r>
  <r>
    <s v="P012"/>
    <s v="Camera"/>
    <x v="1"/>
    <x v="3"/>
    <n v="251.48"/>
    <n v="322.93"/>
    <n v="26"/>
    <s v="Online"/>
    <n v="0.15"/>
    <n v="12"/>
    <x v="11"/>
    <n v="2019"/>
    <n v="28"/>
  </r>
  <r>
    <s v="P013"/>
    <s v="Tablet"/>
    <x v="2"/>
    <x v="0"/>
    <n v="336.11"/>
    <n v="494.74"/>
    <n v="45"/>
    <s v="Retail"/>
    <n v="0.12"/>
    <n v="13"/>
    <x v="0"/>
    <n v="2020"/>
    <n v="43"/>
  </r>
  <r>
    <s v="P014"/>
    <s v="Monitor"/>
    <x v="0"/>
    <x v="1"/>
    <n v="682.87"/>
    <n v="804.27"/>
    <n v="5"/>
    <s v="Direct"/>
    <n v="0.19"/>
    <n v="14"/>
    <x v="1"/>
    <n v="2021"/>
    <n v="5"/>
  </r>
  <r>
    <s v="P015"/>
    <s v="Keyboard"/>
    <x v="0"/>
    <x v="3"/>
    <n v="269.48"/>
    <n v="363.64"/>
    <n v="17"/>
    <s v="Retail"/>
    <n v="0.06"/>
    <n v="15"/>
    <x v="2"/>
    <n v="2022"/>
    <n v="14"/>
  </r>
  <r>
    <s v="P016"/>
    <s v="Laptop"/>
    <x v="1"/>
    <x v="0"/>
    <n v="584.78"/>
    <n v="725.14"/>
    <n v="1"/>
    <s v="Wholesale"/>
    <n v="0.24"/>
    <n v="16"/>
    <x v="3"/>
    <n v="2023"/>
    <n v="1"/>
  </r>
  <r>
    <s v="P017"/>
    <s v="Camera"/>
    <x v="0"/>
    <x v="2"/>
    <n v="677.61"/>
    <n v="800.58"/>
    <n v="45"/>
    <s v="Wholesale"/>
    <n v="0.27"/>
    <n v="17"/>
    <x v="4"/>
    <n v="2024"/>
    <n v="43"/>
  </r>
  <r>
    <s v="P018"/>
    <s v="Printer"/>
    <x v="1"/>
    <x v="0"/>
    <n v="739.22"/>
    <n v="1013.78"/>
    <n v="26"/>
    <s v="Direct"/>
    <n v="0.09"/>
    <n v="18"/>
    <x v="5"/>
    <n v="2025"/>
    <n v="24"/>
  </r>
  <r>
    <s v="P019"/>
    <s v="Watch"/>
    <x v="2"/>
    <x v="0"/>
    <n v="593.30999999999995"/>
    <n v="797.58"/>
    <n v="30"/>
    <s v="Online"/>
    <n v="0.2"/>
    <n v="19"/>
    <x v="6"/>
    <n v="2017"/>
    <n v="25"/>
  </r>
  <r>
    <s v="P020"/>
    <s v="Monitor"/>
    <x v="1"/>
    <x v="3"/>
    <n v="905.37"/>
    <n v="1242.9100000000001"/>
    <n v="47"/>
    <s v="Retail"/>
    <n v="0.13"/>
    <n v="20"/>
    <x v="7"/>
    <n v="2018"/>
    <n v="45"/>
  </r>
  <r>
    <s v="P021"/>
    <s v="Keyboard"/>
    <x v="1"/>
    <x v="3"/>
    <n v="685.15"/>
    <n v="897.44"/>
    <n v="31"/>
    <s v="Direct"/>
    <n v="0.17"/>
    <n v="21"/>
    <x v="8"/>
    <n v="2019"/>
    <n v="26"/>
  </r>
  <r>
    <s v="P022"/>
    <s v="Monitor"/>
    <x v="0"/>
    <x v="3"/>
    <n v="860.1"/>
    <n v="1005.04"/>
    <n v="27"/>
    <s v="Retail"/>
    <n v="0.28000000000000003"/>
    <n v="22"/>
    <x v="9"/>
    <n v="2020"/>
    <n v="26"/>
  </r>
  <r>
    <s v="P023"/>
    <s v="Phone"/>
    <x v="0"/>
    <x v="0"/>
    <n v="385.54"/>
    <n v="494.27"/>
    <n v="28"/>
    <s v="Wholesale"/>
    <n v="0.11"/>
    <n v="23"/>
    <x v="10"/>
    <n v="2021"/>
    <n v="23"/>
  </r>
  <r>
    <s v="P024"/>
    <s v="Headphones"/>
    <x v="2"/>
    <x v="3"/>
    <n v="101.5"/>
    <n v="112.13"/>
    <n v="41"/>
    <s v="Wholesale"/>
    <n v="0.22"/>
    <n v="24"/>
    <x v="11"/>
    <n v="2022"/>
    <n v="47"/>
  </r>
  <r>
    <s v="P025"/>
    <s v="Mouse"/>
    <x v="0"/>
    <x v="3"/>
    <n v="722.41"/>
    <n v="1018.81"/>
    <n v="24"/>
    <s v="Direct"/>
    <n v="0.26"/>
    <n v="25"/>
    <x v="0"/>
    <n v="2023"/>
    <n v="21"/>
  </r>
  <r>
    <s v="P026"/>
    <s v="Mouse"/>
    <x v="0"/>
    <x v="2"/>
    <n v="720.52"/>
    <n v="896.12"/>
    <n v="19"/>
    <s v="Online"/>
    <n v="0.3"/>
    <n v="26"/>
    <x v="1"/>
    <n v="2024"/>
    <n v="18"/>
  </r>
  <r>
    <s v="P027"/>
    <s v="Printer"/>
    <x v="2"/>
    <x v="2"/>
    <n v="518.99"/>
    <n v="750.9"/>
    <n v="20"/>
    <s v="Retail"/>
    <n v="0.15"/>
    <n v="27"/>
    <x v="2"/>
    <n v="2025"/>
    <n v="19"/>
  </r>
  <r>
    <s v="P028"/>
    <s v="Camera"/>
    <x v="2"/>
    <x v="2"/>
    <n v="115.07"/>
    <n v="129.5"/>
    <n v="39"/>
    <s v="Direct"/>
    <n v="0.18"/>
    <n v="28"/>
    <x v="3"/>
    <n v="2017"/>
    <n v="36"/>
  </r>
  <r>
    <s v="P029"/>
    <s v="Printer"/>
    <x v="2"/>
    <x v="3"/>
    <n v="239.88"/>
    <n v="291.02"/>
    <n v="40"/>
    <s v="Retail"/>
    <n v="7.0000000000000007E-2"/>
    <n v="29"/>
    <x v="4"/>
    <n v="2018"/>
    <n v="41"/>
  </r>
  <r>
    <s v="P030"/>
    <s v="Phone"/>
    <x v="0"/>
    <x v="2"/>
    <n v="166.23"/>
    <n v="205.45"/>
    <n v="50"/>
    <s v="Wholesale"/>
    <n v="0.25"/>
    <n v="30"/>
    <x v="5"/>
    <n v="2019"/>
    <n v="59"/>
  </r>
  <r>
    <s v="P031"/>
    <s v="Headphones"/>
    <x v="1"/>
    <x v="0"/>
    <n v="727.56"/>
    <n v="965.42"/>
    <n v="40"/>
    <s v="Wholesale"/>
    <n v="0.19"/>
    <n v="31"/>
    <x v="6"/>
    <n v="2020"/>
    <n v="36"/>
  </r>
  <r>
    <s v="P032"/>
    <s v="Printer"/>
    <x v="2"/>
    <x v="0"/>
    <n v="504.85"/>
    <n v="660.43"/>
    <n v="20"/>
    <s v="Direct"/>
    <n v="0.23"/>
    <n v="32"/>
    <x v="7"/>
    <n v="2021"/>
    <n v="20"/>
  </r>
  <r>
    <s v="P033"/>
    <s v="Watch"/>
    <x v="2"/>
    <x v="0"/>
    <n v="236.45"/>
    <n v="277.83"/>
    <n v="18"/>
    <s v="Online"/>
    <n v="0.1"/>
    <n v="33"/>
    <x v="8"/>
    <n v="2022"/>
    <n v="20"/>
  </r>
  <r>
    <s v="P034"/>
    <s v="Mouse"/>
    <x v="1"/>
    <x v="1"/>
    <n v="407.01"/>
    <n v="570.79"/>
    <n v="5"/>
    <s v="Retail"/>
    <n v="0.14000000000000001"/>
    <n v="34"/>
    <x v="9"/>
    <n v="2023"/>
    <n v="6"/>
  </r>
  <r>
    <s v="P035"/>
    <s v="Tablet"/>
    <x v="2"/>
    <x v="3"/>
    <n v="560.26"/>
    <n v="796.46"/>
    <n v="23"/>
    <s v="Direct"/>
    <n v="0.08"/>
    <n v="35"/>
    <x v="10"/>
    <n v="2024"/>
    <n v="25"/>
  </r>
  <r>
    <s v="P036"/>
    <s v="Printer"/>
    <x v="0"/>
    <x v="2"/>
    <n v="230.83"/>
    <n v="308.33999999999997"/>
    <n v="40"/>
    <s v="Retail"/>
    <n v="0.28999999999999998"/>
    <n v="36"/>
    <x v="11"/>
    <n v="2025"/>
    <n v="47"/>
  </r>
  <r>
    <s v="P037"/>
    <s v="Mouse"/>
    <x v="1"/>
    <x v="3"/>
    <n v="727.71"/>
    <n v="1020.72"/>
    <n v="20"/>
    <s v="Wholesale"/>
    <n v="0.16"/>
    <n v="37"/>
    <x v="0"/>
    <n v="1996"/>
    <n v="17"/>
  </r>
  <r>
    <s v="P038"/>
    <s v="Camera"/>
    <x v="1"/>
    <x v="0"/>
    <n v="433.69"/>
    <n v="609.34"/>
    <n v="40"/>
    <s v="Wholesale"/>
    <n v="0.12"/>
    <n v="38"/>
    <x v="1"/>
    <n v="1997"/>
    <n v="47"/>
  </r>
  <r>
    <s v="P039"/>
    <s v="Headphones"/>
    <x v="2"/>
    <x v="0"/>
    <n v="164.1"/>
    <n v="232.65"/>
    <n v="40"/>
    <s v="Direct"/>
    <n v="0.21"/>
    <n v="39"/>
    <x v="2"/>
    <n v="1998"/>
    <n v="40"/>
  </r>
  <r>
    <s v="P040"/>
    <s v="Camera"/>
    <x v="1"/>
    <x v="0"/>
    <n v="173.75"/>
    <n v="253.94"/>
    <n v="48"/>
    <s v="Online"/>
    <n v="0.27"/>
    <n v="40"/>
    <x v="3"/>
    <n v="1999"/>
    <n v="43"/>
  </r>
  <r>
    <s v="P041"/>
    <s v="Monitor"/>
    <x v="2"/>
    <x v="0"/>
    <n v="841.92"/>
    <n v="946.75"/>
    <n v="13"/>
    <s v="Retail"/>
    <n v="0.3"/>
    <n v="41"/>
    <x v="4"/>
    <n v="2000"/>
    <n v="13"/>
  </r>
  <r>
    <s v="P042"/>
    <s v="Headphones"/>
    <x v="2"/>
    <x v="0"/>
    <n v="392.5"/>
    <n v="442.54"/>
    <n v="3"/>
    <s v="Direct"/>
    <n v="0.13"/>
    <n v="42"/>
    <x v="5"/>
    <n v="2001"/>
    <n v="2"/>
  </r>
  <r>
    <s v="P043"/>
    <s v="Watch"/>
    <x v="0"/>
    <x v="3"/>
    <n v="115.67"/>
    <n v="128.15"/>
    <n v="2"/>
    <s v="Retail"/>
    <n v="0.09"/>
    <n v="43"/>
    <x v="6"/>
    <n v="2002"/>
    <n v="2"/>
  </r>
  <r>
    <s v="P044"/>
    <s v="Monitor"/>
    <x v="2"/>
    <x v="1"/>
    <n v="450.82"/>
    <n v="641.75"/>
    <n v="40"/>
    <s v="Wholesale"/>
    <n v="0.24"/>
    <n v="44"/>
    <x v="7"/>
    <n v="2003"/>
    <n v="35"/>
  </r>
  <r>
    <s v="P045"/>
    <s v="Phone"/>
    <x v="1"/>
    <x v="3"/>
    <n v="206.69"/>
    <n v="245.46"/>
    <n v="44"/>
    <s v="Wholesale"/>
    <n v="0.15"/>
    <n v="45"/>
    <x v="8"/>
    <n v="2004"/>
    <n v="46"/>
  </r>
  <r>
    <s v="P046"/>
    <s v="Monitor"/>
    <x v="0"/>
    <x v="0"/>
    <n v="411.41"/>
    <n v="490.86"/>
    <n v="6"/>
    <s v="Direct"/>
    <n v="0.28000000000000003"/>
    <n v="46"/>
    <x v="9"/>
    <n v="2005"/>
    <n v="7"/>
  </r>
  <r>
    <s v="P047"/>
    <s v="Watch"/>
    <x v="2"/>
    <x v="2"/>
    <n v="577.64"/>
    <n v="650.11"/>
    <n v="17"/>
    <s v="Online"/>
    <n v="0.19"/>
    <n v="47"/>
    <x v="10"/>
    <n v="2006"/>
    <n v="15"/>
  </r>
  <r>
    <s v="P048"/>
    <s v="Laptop"/>
    <x v="2"/>
    <x v="3"/>
    <n v="671.88"/>
    <n v="857"/>
    <n v="27"/>
    <s v="Retail"/>
    <n v="0.22"/>
    <n v="48"/>
    <x v="11"/>
    <n v="2007"/>
    <n v="27"/>
  </r>
  <r>
    <s v="P049"/>
    <s v="Headphones"/>
    <x v="2"/>
    <x v="2"/>
    <n v="188.18"/>
    <n v="254.28"/>
    <n v="15"/>
    <s v="Direct"/>
    <n v="0.06"/>
    <n v="49"/>
    <x v="0"/>
    <n v="2008"/>
    <n v="16"/>
  </r>
  <r>
    <s v="P050"/>
    <s v="Keyboard"/>
    <x v="0"/>
    <x v="1"/>
    <n v="412.59"/>
    <n v="609.51"/>
    <n v="40"/>
    <s v="Retail"/>
    <n v="0.2"/>
    <n v="50"/>
    <x v="1"/>
    <n v="2009"/>
    <n v="37"/>
  </r>
  <r>
    <s v="P051"/>
    <s v="Mouse"/>
    <x v="0"/>
    <x v="1"/>
    <n v="303.97000000000003"/>
    <n v="421.89"/>
    <n v="1"/>
    <s v="Wholesale"/>
    <n v="0.12"/>
    <n v="51"/>
    <x v="2"/>
    <n v="2010"/>
    <n v="1"/>
  </r>
  <r>
    <s v="P052"/>
    <s v="Laptop"/>
    <x v="0"/>
    <x v="1"/>
    <n v="976.19"/>
    <n v="1265.92"/>
    <n v="28"/>
    <s v="Wholesale"/>
    <n v="0.11"/>
    <n v="52"/>
    <x v="3"/>
    <n v="2011"/>
    <n v="27"/>
  </r>
  <r>
    <s v="P053"/>
    <s v="Mouse"/>
    <x v="1"/>
    <x v="1"/>
    <n v="942.54"/>
    <n v="1112.73"/>
    <n v="44"/>
    <s v="Direct"/>
    <n v="0.25"/>
    <n v="53"/>
    <x v="4"/>
    <n v="2012"/>
    <n v="41"/>
  </r>
  <r>
    <s v="P054"/>
    <s v="Printer"/>
    <x v="2"/>
    <x v="3"/>
    <n v="918.51"/>
    <n v="1166.3599999999999"/>
    <n v="50"/>
    <s v="Online"/>
    <n v="0.17"/>
    <n v="54"/>
    <x v="5"/>
    <n v="2013"/>
    <n v="46"/>
  </r>
  <r>
    <s v="P055"/>
    <s v="Watch"/>
    <x v="2"/>
    <x v="0"/>
    <n v="561.91999999999996"/>
    <n v="774.4"/>
    <n v="22"/>
    <s v="Retail"/>
    <n v="0.14000000000000001"/>
    <n v="55"/>
    <x v="6"/>
    <n v="2014"/>
    <n v="26"/>
  </r>
  <r>
    <s v="P056"/>
    <s v="Printer"/>
    <x v="2"/>
    <x v="0"/>
    <n v="809.74"/>
    <n v="993.47"/>
    <n v="34"/>
    <s v="Direct"/>
    <n v="0.3"/>
    <n v="56"/>
    <x v="7"/>
    <n v="2015"/>
    <n v="34"/>
  </r>
  <r>
    <s v="P057"/>
    <s v="Phone"/>
    <x v="0"/>
    <x v="1"/>
    <n v="448.93"/>
    <n v="638.32000000000005"/>
    <n v="11"/>
    <s v="Retail"/>
    <n v="0.1"/>
    <n v="57"/>
    <x v="8"/>
    <n v="2016"/>
    <n v="13"/>
  </r>
  <r>
    <s v="P058"/>
    <s v="Watch"/>
    <x v="1"/>
    <x v="2"/>
    <n v="840.09"/>
    <n v="1032.06"/>
    <n v="50"/>
    <s v="Wholesale"/>
    <n v="0.28999999999999998"/>
    <n v="58"/>
    <x v="9"/>
    <n v="2017"/>
    <n v="58"/>
  </r>
  <r>
    <s v="P059"/>
    <s v="Watch"/>
    <x v="0"/>
    <x v="2"/>
    <n v="820.79"/>
    <n v="1203.6300000000001"/>
    <n v="6"/>
    <s v="Wholesale"/>
    <n v="0.23"/>
    <n v="59"/>
    <x v="10"/>
    <n v="2018"/>
    <n v="6"/>
  </r>
  <r>
    <s v="P060"/>
    <s v="Monitor"/>
    <x v="1"/>
    <x v="1"/>
    <n v="743.91"/>
    <n v="1030.6300000000001"/>
    <n v="39"/>
    <s v="Direct"/>
    <n v="0.15"/>
    <n v="60"/>
    <x v="11"/>
    <n v="2019"/>
    <n v="38"/>
  </r>
  <r>
    <s v="P061"/>
    <s v="Watch"/>
    <x v="1"/>
    <x v="0"/>
    <n v="845.63"/>
    <n v="1137.55"/>
    <n v="35"/>
    <s v="Online"/>
    <n v="0.18"/>
    <n v="61"/>
    <x v="0"/>
    <n v="2020"/>
    <n v="39"/>
  </r>
  <r>
    <s v="P062"/>
    <s v="Headphones"/>
    <x v="2"/>
    <x v="0"/>
    <n v="725.55"/>
    <n v="1074.6500000000001"/>
    <n v="40"/>
    <s v="Retail"/>
    <n v="0.27"/>
    <n v="62"/>
    <x v="1"/>
    <n v="2021"/>
    <n v="42"/>
  </r>
  <r>
    <s v="P063"/>
    <s v="Headphones"/>
    <x v="0"/>
    <x v="0"/>
    <n v="722.21"/>
    <n v="906.22"/>
    <n v="19"/>
    <s v="Direct"/>
    <n v="0.09"/>
    <n v="63"/>
    <x v="2"/>
    <n v="2022"/>
    <n v="17"/>
  </r>
  <r>
    <s v="P064"/>
    <s v="Laptop"/>
    <x v="0"/>
    <x v="3"/>
    <n v="208.23"/>
    <n v="283.72000000000003"/>
    <n v="22"/>
    <s v="Retail"/>
    <n v="0.21"/>
    <n v="64"/>
    <x v="3"/>
    <n v="2023"/>
    <n v="22"/>
  </r>
  <r>
    <s v="P065"/>
    <s v="Monitor"/>
    <x v="0"/>
    <x v="0"/>
    <n v="971.52"/>
    <n v="1430.95"/>
    <n v="8"/>
    <s v="Wholesale"/>
    <n v="0.16"/>
    <n v="65"/>
    <x v="4"/>
    <n v="2024"/>
    <n v="8"/>
  </r>
  <r>
    <s v="P066"/>
    <s v="Tablet"/>
    <x v="2"/>
    <x v="2"/>
    <n v="340.79"/>
    <n v="485.82"/>
    <n v="27"/>
    <s v="Wholesale"/>
    <n v="0.19"/>
    <n v="66"/>
    <x v="5"/>
    <n v="2025"/>
    <n v="27"/>
  </r>
  <r>
    <s v="P067"/>
    <s v="Headphones"/>
    <x v="0"/>
    <x v="3"/>
    <n v="409.19"/>
    <n v="606.34"/>
    <n v="7"/>
    <s v="Direct"/>
    <n v="7.0000000000000007E-2"/>
    <n v="67"/>
    <x v="6"/>
    <n v="1983"/>
    <n v="6"/>
  </r>
  <r>
    <s v="P068"/>
    <s v="Tablet"/>
    <x v="1"/>
    <x v="3"/>
    <n v="297.04000000000002"/>
    <n v="402.86"/>
    <n v="10"/>
    <s v="Online"/>
    <n v="0.28000000000000003"/>
    <n v="68"/>
    <x v="7"/>
    <n v="1984"/>
    <n v="10"/>
  </r>
  <r>
    <s v="P069"/>
    <s v="Headphones"/>
    <x v="2"/>
    <x v="0"/>
    <n v="410.38"/>
    <n v="520.98"/>
    <n v="1"/>
    <s v="Retail"/>
    <n v="0.13"/>
    <n v="69"/>
    <x v="8"/>
    <n v="1985"/>
    <n v="1"/>
  </r>
  <r>
    <s v="P070"/>
    <s v="Monitor"/>
    <x v="0"/>
    <x v="0"/>
    <n v="409.65"/>
    <n v="457.13"/>
    <n v="9"/>
    <s v="Direct"/>
    <n v="0.2"/>
    <n v="70"/>
    <x v="9"/>
    <n v="1986"/>
    <n v="9"/>
  </r>
  <r>
    <s v="P071"/>
    <s v="Watch"/>
    <x v="2"/>
    <x v="1"/>
    <n v="794.99"/>
    <n v="1017.67"/>
    <n v="40"/>
    <s v="Retail"/>
    <n v="0.26"/>
    <n v="71"/>
    <x v="10"/>
    <n v="1987"/>
    <n v="46"/>
  </r>
  <r>
    <s v="P072"/>
    <s v="Watch"/>
    <x v="2"/>
    <x v="1"/>
    <n v="320.31"/>
    <n v="387.26"/>
    <n v="12"/>
    <s v="Wholesale"/>
    <n v="0.24"/>
    <n v="72"/>
    <x v="11"/>
    <n v="1988"/>
    <n v="11"/>
  </r>
  <r>
    <s v="P073"/>
    <s v="Camera"/>
    <x v="1"/>
    <x v="2"/>
    <n v="619.59"/>
    <n v="891.8"/>
    <n v="22"/>
    <s v="Wholesale"/>
    <n v="0.08"/>
    <n v="73"/>
    <x v="0"/>
    <n v="1989"/>
    <n v="25"/>
  </r>
  <r>
    <s v="P074"/>
    <s v="Monitor"/>
    <x v="2"/>
    <x v="2"/>
    <n v="808.75"/>
    <n v="1212.97"/>
    <n v="21"/>
    <s v="Direct"/>
    <n v="0.28999999999999998"/>
    <n v="74"/>
    <x v="1"/>
    <n v="1990"/>
    <n v="21"/>
  </r>
  <r>
    <s v="P075"/>
    <s v="Watch"/>
    <x v="2"/>
    <x v="3"/>
    <n v="603.29999999999995"/>
    <n v="732.41"/>
    <n v="18"/>
    <s v="Online"/>
    <n v="0.22"/>
    <n v="75"/>
    <x v="2"/>
    <n v="1991"/>
    <n v="18"/>
  </r>
  <r>
    <s v="P076"/>
    <s v="Camera"/>
    <x v="1"/>
    <x v="0"/>
    <n v="788.32"/>
    <n v="883.02"/>
    <n v="20"/>
    <s v="Retail"/>
    <n v="0.11"/>
    <n v="76"/>
    <x v="3"/>
    <n v="1992"/>
    <n v="21"/>
  </r>
  <r>
    <s v="P077"/>
    <s v="Headphones"/>
    <x v="2"/>
    <x v="1"/>
    <n v="705.23"/>
    <n v="995.2"/>
    <n v="11"/>
    <s v="Direct"/>
    <n v="0.25"/>
    <n v="77"/>
    <x v="4"/>
    <n v="1993"/>
    <n v="9"/>
  </r>
  <r>
    <s v="P078"/>
    <s v="Headphones"/>
    <x v="2"/>
    <x v="3"/>
    <n v="493.49"/>
    <n v="598.36"/>
    <n v="40"/>
    <s v="Retail"/>
    <n v="0.12"/>
    <n v="78"/>
    <x v="5"/>
    <n v="1994"/>
    <n v="44"/>
  </r>
  <r>
    <s v="P079"/>
    <s v="Laptop"/>
    <x v="0"/>
    <x v="0"/>
    <n v="473.5"/>
    <n v="650.54999999999995"/>
    <n v="18"/>
    <s v="Wholesale"/>
    <n v="0.3"/>
    <n v="79"/>
    <x v="6"/>
    <n v="1995"/>
    <n v="20"/>
  </r>
  <r>
    <s v="P080"/>
    <s v="Camera"/>
    <x v="2"/>
    <x v="1"/>
    <n v="351.35"/>
    <n v="453.34"/>
    <n v="5"/>
    <s v="Wholesale"/>
    <n v="0.14000000000000001"/>
    <n v="80"/>
    <x v="7"/>
    <n v="1996"/>
    <n v="6"/>
  </r>
  <r>
    <s v="P081"/>
    <s v="Laptop"/>
    <x v="2"/>
    <x v="1"/>
    <n v="311.93"/>
    <n v="400.88"/>
    <n v="39"/>
    <s v="Direct"/>
    <n v="0.18"/>
    <n v="81"/>
    <x v="8"/>
    <n v="1997"/>
    <n v="46"/>
  </r>
  <r>
    <s v="P082"/>
    <s v="Keyboard"/>
    <x v="1"/>
    <x v="2"/>
    <n v="212.47"/>
    <n v="304.8"/>
    <n v="28"/>
    <s v="Online"/>
    <n v="0.27"/>
    <n v="82"/>
    <x v="9"/>
    <n v="1998"/>
    <n v="27"/>
  </r>
  <r>
    <s v="P083"/>
    <s v="Keyboard"/>
    <x v="0"/>
    <x v="3"/>
    <n v="619.84"/>
    <n v="911.75"/>
    <n v="12"/>
    <s v="Retail"/>
    <n v="0.19"/>
    <n v="83"/>
    <x v="10"/>
    <n v="1999"/>
    <n v="11"/>
  </r>
  <r>
    <s v="P084"/>
    <s v="Keyboard"/>
    <x v="0"/>
    <x v="0"/>
    <n v="213.7"/>
    <n v="255.92"/>
    <n v="15"/>
    <s v="Direct"/>
    <n v="0.06"/>
    <n v="84"/>
    <x v="11"/>
    <n v="2000"/>
    <n v="16"/>
  </r>
  <r>
    <s v="P085"/>
    <s v="Phone"/>
    <x v="2"/>
    <x v="3"/>
    <n v="249.7"/>
    <n v="333.54"/>
    <n v="36"/>
    <s v="Retail"/>
    <n v="0.23"/>
    <n v="85"/>
    <x v="0"/>
    <n v="2001"/>
    <n v="39"/>
  </r>
  <r>
    <s v="P086"/>
    <s v="Laptop"/>
    <x v="1"/>
    <x v="1"/>
    <n v="945.59"/>
    <n v="1254.0999999999999"/>
    <n v="13"/>
    <s v="Wholesale"/>
    <n v="0.21"/>
    <n v="86"/>
    <x v="1"/>
    <n v="2002"/>
    <n v="14"/>
  </r>
  <r>
    <s v="P087"/>
    <s v="Monitor"/>
    <x v="1"/>
    <x v="3"/>
    <n v="964.27"/>
    <n v="1438.53"/>
    <n v="16"/>
    <s v="Wholesale"/>
    <n v="0.1"/>
    <n v="87"/>
    <x v="2"/>
    <n v="2003"/>
    <n v="19"/>
  </r>
  <r>
    <s v="P088"/>
    <s v="Phone"/>
    <x v="1"/>
    <x v="0"/>
    <n v="856.38"/>
    <n v="1073.1600000000001"/>
    <n v="24"/>
    <s v="Direct"/>
    <n v="0.16"/>
    <n v="88"/>
    <x v="3"/>
    <n v="2004"/>
    <n v="29"/>
  </r>
  <r>
    <s v="P089"/>
    <s v="Printer"/>
    <x v="1"/>
    <x v="3"/>
    <n v="400.54"/>
    <n v="527.08000000000004"/>
    <n v="22"/>
    <s v="Online"/>
    <n v="0.28000000000000003"/>
    <n v="89"/>
    <x v="4"/>
    <n v="2005"/>
    <n v="22"/>
  </r>
  <r>
    <s v="P090"/>
    <s v="Watch"/>
    <x v="0"/>
    <x v="1"/>
    <n v="402.37"/>
    <n v="511.12"/>
    <n v="12"/>
    <s v="Retail"/>
    <n v="0.15"/>
    <n v="90"/>
    <x v="5"/>
    <n v="2006"/>
    <n v="11"/>
  </r>
  <r>
    <s v="P091"/>
    <s v="Keyboard"/>
    <x v="2"/>
    <x v="1"/>
    <n v="716.15"/>
    <n v="1049.97"/>
    <n v="50"/>
    <s v="Direct"/>
    <n v="0.09"/>
    <n v="91"/>
    <x v="6"/>
    <n v="2007"/>
    <n v="55"/>
  </r>
  <r>
    <s v="P092"/>
    <s v="Monitor"/>
    <x v="0"/>
    <x v="0"/>
    <n v="250.96"/>
    <n v="374.74"/>
    <n v="5"/>
    <s v="Retail"/>
    <n v="0.3"/>
    <n v="92"/>
    <x v="7"/>
    <n v="2008"/>
    <n v="5"/>
  </r>
  <r>
    <s v="P093"/>
    <s v="Headphones"/>
    <x v="0"/>
    <x v="1"/>
    <n v="513.24"/>
    <n v="763.93"/>
    <n v="22"/>
    <s v="Wholesale"/>
    <n v="0.24"/>
    <n v="93"/>
    <x v="8"/>
    <n v="2009"/>
    <n v="22"/>
  </r>
  <r>
    <s v="P094"/>
    <s v="Camera"/>
    <x v="1"/>
    <x v="3"/>
    <n v="403.97"/>
    <n v="497.66"/>
    <n v="19"/>
    <s v="Wholesale"/>
    <n v="0.12"/>
    <n v="94"/>
    <x v="9"/>
    <n v="2010"/>
    <n v="16"/>
  </r>
  <r>
    <s v="P095"/>
    <s v="Headphones"/>
    <x v="1"/>
    <x v="3"/>
    <n v="711.97"/>
    <n v="1060.58"/>
    <n v="10"/>
    <s v="Direct"/>
    <n v="0.28999999999999998"/>
    <n v="95"/>
    <x v="10"/>
    <n v="2011"/>
    <n v="8"/>
  </r>
  <r>
    <s v="P096"/>
    <s v="Tablet"/>
    <x v="2"/>
    <x v="3"/>
    <n v="853.93"/>
    <n v="1009.14"/>
    <n v="45"/>
    <s v="Online"/>
    <n v="0.17"/>
    <n v="96"/>
    <x v="11"/>
    <n v="2012"/>
    <n v="44"/>
  </r>
  <r>
    <s v="P097"/>
    <s v="Monitor"/>
    <x v="1"/>
    <x v="0"/>
    <n v="680.81"/>
    <n v="892.02"/>
    <n v="12"/>
    <s v="Retail"/>
    <n v="0.2"/>
    <n v="97"/>
    <x v="0"/>
    <n v="2013"/>
    <n v="13"/>
  </r>
  <r>
    <s v="P098"/>
    <s v="Headphones"/>
    <x v="1"/>
    <x v="1"/>
    <n v="549.61"/>
    <n v="711.95"/>
    <n v="8"/>
    <s v="Direct"/>
    <n v="0.22"/>
    <n v="98"/>
    <x v="1"/>
    <n v="2014"/>
    <n v="7"/>
  </r>
  <r>
    <s v="P099"/>
    <s v="Monitor"/>
    <x v="2"/>
    <x v="1"/>
    <n v="777.2"/>
    <n v="1023.36"/>
    <n v="24"/>
    <s v="Retail"/>
    <n v="0.14000000000000001"/>
    <n v="99"/>
    <x v="2"/>
    <n v="2015"/>
    <n v="22"/>
  </r>
  <r>
    <s v="P100"/>
    <s v="Phone"/>
    <x v="0"/>
    <x v="2"/>
    <n v="867.49"/>
    <n v="1182.23"/>
    <n v="35"/>
    <s v="Wholesale"/>
    <n v="0.25"/>
    <n v="100"/>
    <x v="3"/>
    <n v="2016"/>
    <n v="38"/>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r>
    <m/>
    <m/>
    <x v="3"/>
    <x v="4"/>
    <m/>
    <m/>
    <m/>
    <m/>
    <m/>
    <m/>
    <x v="1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E34:F36" firstHeaderRow="1" firstDataRow="1" firstDataCol="1"/>
  <pivotFields count="12">
    <pivotField showAll="0"/>
    <pivotField showAll="0">
      <items count="11">
        <item x="0"/>
        <item x="4"/>
        <item x="7"/>
        <item x="9"/>
        <item x="8"/>
        <item x="3"/>
        <item x="6"/>
        <item x="2"/>
        <item x="5"/>
        <item x="1"/>
        <item t="default"/>
      </items>
    </pivotField>
    <pivotField showAll="0"/>
    <pivotField showAll="0"/>
    <pivotField numFmtId="164" showAll="0"/>
    <pivotField dataField="1" numFmtId="164" showAll="0"/>
    <pivotField showAll="0"/>
    <pivotField axis="axisRow" showAll="0">
      <items count="5">
        <item h="1" x="2"/>
        <item h="1" x="3"/>
        <item h="1" x="0"/>
        <item x="1"/>
        <item t="default"/>
      </items>
    </pivotField>
    <pivotField numFmtId="9" showAll="0"/>
    <pivotField showAll="0"/>
    <pivotField showAll="0">
      <items count="13">
        <item x="0"/>
        <item x="1"/>
        <item x="2"/>
        <item x="3"/>
        <item x="4"/>
        <item x="5"/>
        <item x="6"/>
        <item x="7"/>
        <item x="8"/>
        <item x="9"/>
        <item x="10"/>
        <item x="11"/>
        <item t="default"/>
      </items>
    </pivotField>
    <pivotField showAll="0">
      <items count="2">
        <item x="0"/>
        <item t="default"/>
      </items>
    </pivotField>
  </pivotFields>
  <rowFields count="1">
    <field x="7"/>
  </rowFields>
  <rowItems count="2">
    <i>
      <x v="3"/>
    </i>
    <i t="grand">
      <x/>
    </i>
  </rowItems>
  <colItems count="1">
    <i/>
  </colItems>
  <dataFields count="1">
    <dataField name="Sum of Selling Price" fld="5" baseField="0" baseItem="0"/>
  </dataFields>
  <formats count="8">
    <format dxfId="13">
      <pivotArea field="7" type="button" dataOnly="0" labelOnly="1" outline="0" axis="axisRow" fieldPosition="0"/>
    </format>
    <format dxfId="12">
      <pivotArea dataOnly="0" labelOnly="1" outline="0" axis="axisValues" fieldPosition="0"/>
    </format>
    <format dxfId="11">
      <pivotArea dataOnly="0" grandRow="1" fieldPosition="0"/>
    </format>
    <format dxfId="10">
      <pivotArea dataOnly="0" fieldPosition="0">
        <references count="1">
          <reference field="7" count="0"/>
        </references>
      </pivotArea>
    </format>
    <format dxfId="9">
      <pivotArea field="7" type="button" dataOnly="0" labelOnly="1" outline="0" axis="axisRow" fieldPosition="0"/>
    </format>
    <format dxfId="8">
      <pivotArea dataOnly="0" labelOnly="1" outline="0" axis="axisValues" fieldPosition="0"/>
    </format>
    <format dxfId="7">
      <pivotArea field="7" type="button" dataOnly="0" labelOnly="1" outline="0" axis="axisRow" fieldPosition="0"/>
    </format>
    <format dxfId="6">
      <pivotArea dataOnly="0" labelOnly="1" outline="0" axis="axisValues" fieldPosition="0"/>
    </format>
  </formats>
  <chartFormats count="5">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6" format="5">
      <pivotArea type="data" outline="0" fieldPosition="0">
        <references count="2">
          <reference field="4294967294" count="1" selected="0">
            <x v="0"/>
          </reference>
          <reference field="7" count="1" selected="0">
            <x v="3"/>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location ref="B16:F27" firstHeaderRow="1" firstDataRow="2" firstDataCol="1"/>
  <pivotFields count="12">
    <pivotField showAll="0"/>
    <pivotField axis="axisRow" showAll="0">
      <items count="11">
        <item x="0"/>
        <item x="4"/>
        <item x="7"/>
        <item x="9"/>
        <item x="8"/>
        <item x="3"/>
        <item x="6"/>
        <item x="2"/>
        <item x="5"/>
        <item x="1"/>
        <item t="default"/>
      </items>
    </pivotField>
    <pivotField axis="axisCol" showAll="0">
      <items count="4">
        <item x="0"/>
        <item x="1"/>
        <item x="2"/>
        <item t="default"/>
      </items>
    </pivotField>
    <pivotField showAll="0"/>
    <pivotField dataField="1" numFmtId="164" showAll="0"/>
    <pivotField numFmtId="164" showAll="0"/>
    <pivotField showAll="0"/>
    <pivotField showAll="0">
      <items count="5">
        <item h="1" x="2"/>
        <item h="1" x="3"/>
        <item h="1" x="0"/>
        <item x="1"/>
        <item t="default"/>
      </items>
    </pivotField>
    <pivotField numFmtId="9" showAll="0"/>
    <pivotField showAll="0"/>
    <pivotField showAll="0">
      <items count="13">
        <item x="0"/>
        <item x="1"/>
        <item x="2"/>
        <item x="3"/>
        <item x="4"/>
        <item x="5"/>
        <item x="6"/>
        <item x="7"/>
        <item x="8"/>
        <item x="9"/>
        <item x="10"/>
        <item x="11"/>
        <item t="default"/>
      </items>
    </pivotField>
    <pivotField showAll="0"/>
  </pivotFields>
  <rowFields count="1">
    <field x="1"/>
  </rowFields>
  <rowItems count="10">
    <i>
      <x/>
    </i>
    <i>
      <x v="1"/>
    </i>
    <i>
      <x v="3"/>
    </i>
    <i>
      <x v="4"/>
    </i>
    <i>
      <x v="5"/>
    </i>
    <i>
      <x v="6"/>
    </i>
    <i>
      <x v="7"/>
    </i>
    <i>
      <x v="8"/>
    </i>
    <i>
      <x v="9"/>
    </i>
    <i t="grand">
      <x/>
    </i>
  </rowItems>
  <colFields count="1">
    <field x="2"/>
  </colFields>
  <colItems count="4">
    <i>
      <x/>
    </i>
    <i>
      <x v="1"/>
    </i>
    <i>
      <x v="2"/>
    </i>
    <i t="grand">
      <x/>
    </i>
  </colItems>
  <dataFields count="1">
    <dataField name="Sum of Buying Price" fld="4" baseField="0" baseItem="0"/>
  </dataFields>
  <formats count="19">
    <format dxfId="32">
      <pivotArea dataOnly="0" labelOnly="1" fieldPosition="0">
        <references count="1">
          <reference field="2" count="0"/>
        </references>
      </pivotArea>
    </format>
    <format dxfId="31">
      <pivotArea dataOnly="0" labelOnly="1" grandCol="1" outline="0" fieldPosition="0"/>
    </format>
    <format dxfId="30">
      <pivotArea dataOnly="0" grandRow="1" fieldPosition="0"/>
    </format>
    <format dxfId="29">
      <pivotArea collapsedLevelsAreSubtotals="1" fieldPosition="0">
        <references count="1">
          <reference field="1" count="0"/>
        </references>
      </pivotArea>
    </format>
    <format dxfId="28">
      <pivotArea dataOnly="0" labelOnly="1" fieldPosition="0">
        <references count="1">
          <reference field="1" count="0"/>
        </references>
      </pivotArea>
    </format>
    <format dxfId="27">
      <pivotArea collapsedLevelsAreSubtotals="1" fieldPosition="0">
        <references count="1">
          <reference field="1" count="0"/>
        </references>
      </pivotArea>
    </format>
    <format dxfId="26">
      <pivotArea dataOnly="0" labelOnly="1" fieldPosition="0">
        <references count="1">
          <reference field="1" count="0"/>
        </references>
      </pivotArea>
    </format>
    <format dxfId="25">
      <pivotArea dataOnly="0" labelOnly="1" fieldPosition="0">
        <references count="1">
          <reference field="2" count="0"/>
        </references>
      </pivotArea>
    </format>
    <format dxfId="24">
      <pivotArea dataOnly="0" labelOnly="1" grandCol="1" outline="0" fieldPosition="0"/>
    </format>
    <format dxfId="23">
      <pivotArea dataOnly="0" labelOnly="1" fieldPosition="0">
        <references count="1">
          <reference field="2" count="0"/>
        </references>
      </pivotArea>
    </format>
    <format dxfId="22">
      <pivotArea dataOnly="0" labelOnly="1" grandCol="1" outline="0" fieldPosition="0"/>
    </format>
    <format dxfId="21">
      <pivotArea type="origin" dataOnly="0" labelOnly="1" outline="0" fieldPosition="0"/>
    </format>
    <format dxfId="20">
      <pivotArea type="origin" dataOnly="0" labelOnly="1" outline="0" fieldPosition="0"/>
    </format>
    <format dxfId="19">
      <pivotArea field="2" type="button" dataOnly="0" labelOnly="1" outline="0" axis="axisCol" fieldPosition="0"/>
    </format>
    <format dxfId="18">
      <pivotArea field="1" type="button" dataOnly="0" labelOnly="1" outline="0" axis="axisRow" fieldPosition="0"/>
    </format>
    <format dxfId="17">
      <pivotArea field="1" type="button" dataOnly="0" labelOnly="1" outline="0" axis="axisRow" fieldPosition="0"/>
    </format>
    <format dxfId="16">
      <pivotArea dataOnly="0" labelOnly="1" fieldPosition="0">
        <references count="1">
          <reference field="2" count="0"/>
        </references>
      </pivotArea>
    </format>
    <format dxfId="15">
      <pivotArea dataOnly="0" labelOnly="1" grandCol="1" outline="0" fieldPosition="0"/>
    </format>
    <format dxfId="14">
      <pivotArea dataOnly="0" grandRow="1" fieldPosition="0"/>
    </format>
  </formats>
  <chartFormats count="5">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51:G56" firstHeaderRow="1" firstDataRow="2"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1">
        <item x="0"/>
        <item x="4"/>
        <item x="7"/>
        <item x="9"/>
        <item x="8"/>
        <item x="3"/>
        <item x="6"/>
        <item x="2"/>
        <item x="5"/>
        <item x="1"/>
        <item t="default"/>
      </items>
    </pivotField>
    <pivotField axis="axisRow" showAll="0">
      <items count="4">
        <item x="0"/>
        <item x="1"/>
        <item x="2"/>
        <item t="default"/>
      </items>
    </pivotField>
    <pivotField axis="axisCol" showAll="0">
      <items count="5">
        <item x="2"/>
        <item x="0"/>
        <item x="1"/>
        <item x="3"/>
        <item t="default"/>
      </items>
    </pivotField>
    <pivotField numFmtId="164" showAll="0"/>
    <pivotField dataField="1" numFmtId="164" showAll="0"/>
    <pivotField showAll="0">
      <items count="41">
        <item x="11"/>
        <item x="26"/>
        <item x="25"/>
        <item x="0"/>
        <item x="9"/>
        <item x="28"/>
        <item x="34"/>
        <item x="33"/>
        <item x="35"/>
        <item x="3"/>
        <item x="31"/>
        <item x="36"/>
        <item x="24"/>
        <item x="2"/>
        <item x="29"/>
        <item x="39"/>
        <item x="10"/>
        <item x="21"/>
        <item x="18"/>
        <item x="6"/>
        <item x="37"/>
        <item x="30"/>
        <item x="22"/>
        <item x="4"/>
        <item x="7"/>
        <item x="15"/>
        <item x="16"/>
        <item x="12"/>
        <item x="14"/>
        <item x="1"/>
        <item x="32"/>
        <item x="38"/>
        <item x="19"/>
        <item x="5"/>
        <item x="17"/>
        <item x="27"/>
        <item x="8"/>
        <item x="13"/>
        <item x="23"/>
        <item x="20"/>
        <item t="default"/>
      </items>
    </pivotField>
    <pivotField showAll="0">
      <items count="5">
        <item h="1" x="2"/>
        <item h="1" x="3"/>
        <item h="1" x="0"/>
        <item x="1"/>
        <item t="default"/>
      </items>
    </pivotField>
    <pivotField numFmtId="9" showAll="0">
      <items count="26">
        <item x="13"/>
        <item x="3"/>
        <item x="9"/>
        <item x="16"/>
        <item x="5"/>
        <item x="21"/>
        <item x="2"/>
        <item x="18"/>
        <item x="24"/>
        <item x="11"/>
        <item x="7"/>
        <item x="19"/>
        <item x="0"/>
        <item x="12"/>
        <item x="17"/>
        <item x="4"/>
        <item x="22"/>
        <item x="8"/>
        <item x="14"/>
        <item x="1"/>
        <item x="23"/>
        <item x="15"/>
        <item x="20"/>
        <item x="6"/>
        <item x="10"/>
        <item t="default"/>
      </items>
    </pivotField>
    <pivotField showAll="0"/>
    <pivotField showAll="0">
      <items count="13">
        <item x="0"/>
        <item x="1"/>
        <item x="2"/>
        <item x="3"/>
        <item x="4"/>
        <item x="5"/>
        <item x="6"/>
        <item x="7"/>
        <item x="8"/>
        <item x="9"/>
        <item x="10"/>
        <item x="11"/>
        <item t="default"/>
      </items>
    </pivotField>
    <pivotField showAll="0">
      <items count="2">
        <item x="0"/>
        <item t="default"/>
      </items>
    </pivotField>
  </pivotFields>
  <rowFields count="1">
    <field x="2"/>
  </rowFields>
  <rowItems count="4">
    <i>
      <x/>
    </i>
    <i>
      <x v="1"/>
    </i>
    <i>
      <x v="2"/>
    </i>
    <i t="grand">
      <x/>
    </i>
  </rowItems>
  <colFields count="1">
    <field x="3"/>
  </colFields>
  <colItems count="5">
    <i>
      <x/>
    </i>
    <i>
      <x v="1"/>
    </i>
    <i>
      <x v="2"/>
    </i>
    <i>
      <x v="3"/>
    </i>
    <i t="grand">
      <x/>
    </i>
  </colItems>
  <dataFields count="1">
    <dataField name="Sum of Selling Price" fld="5" baseField="0" baseItem="0"/>
  </dataFields>
  <formats count="15">
    <format dxfId="47">
      <pivotArea dataOnly="0" grandRow="1" fieldPosition="0"/>
    </format>
    <format dxfId="46">
      <pivotArea collapsedLevelsAreSubtotals="1" fieldPosition="0">
        <references count="1">
          <reference field="2" count="0"/>
        </references>
      </pivotArea>
    </format>
    <format dxfId="45">
      <pivotArea dataOnly="0" labelOnly="1" fieldPosition="0">
        <references count="1">
          <reference field="2" count="0"/>
        </references>
      </pivotArea>
    </format>
    <format dxfId="44">
      <pivotArea dataOnly="0" labelOnly="1" fieldPosition="0">
        <references count="1">
          <reference field="3" count="0"/>
        </references>
      </pivotArea>
    </format>
    <format dxfId="43">
      <pivotArea dataOnly="0" labelOnly="1" fieldPosition="0">
        <references count="1">
          <reference field="3" count="0"/>
        </references>
      </pivotArea>
    </format>
    <format dxfId="42">
      <pivotArea dataOnly="0" labelOnly="1" fieldPosition="0">
        <references count="1">
          <reference field="3" count="0"/>
        </references>
      </pivotArea>
    </format>
    <format dxfId="41">
      <pivotArea dataOnly="0" labelOnly="1" grandCol="1" outline="0" fieldPosition="0"/>
    </format>
    <format dxfId="40">
      <pivotArea dataOnly="0" labelOnly="1" fieldPosition="0">
        <references count="1">
          <reference field="3" count="0"/>
        </references>
      </pivotArea>
    </format>
    <format dxfId="39">
      <pivotArea dataOnly="0" labelOnly="1" grandCol="1" outline="0" fieldPosition="0"/>
    </format>
    <format dxfId="38">
      <pivotArea type="origin" dataOnly="0" labelOnly="1" outline="0" fieldPosition="0"/>
    </format>
    <format dxfId="37">
      <pivotArea type="origin" dataOnly="0" labelOnly="1" outline="0" fieldPosition="0"/>
    </format>
    <format dxfId="36">
      <pivotArea field="2" type="button" dataOnly="0" labelOnly="1" outline="0" axis="axisRow" fieldPosition="0"/>
    </format>
    <format dxfId="35">
      <pivotArea field="2" type="button" dataOnly="0" labelOnly="1" outline="0" axis="axisRow" fieldPosition="0"/>
    </format>
    <format dxfId="34">
      <pivotArea dataOnly="0" labelOnly="1" fieldPosition="0">
        <references count="1">
          <reference field="3" count="0"/>
        </references>
      </pivotArea>
    </format>
    <format dxfId="33">
      <pivotArea dataOnly="0" labelOnly="1" grandCol="1" outline="0" fieldPosition="0"/>
    </format>
  </formats>
  <chartFormats count="4">
    <chartFormat chart="1" format="14" series="1">
      <pivotArea type="data" outline="0" fieldPosition="0">
        <references count="2">
          <reference field="4294967294" count="1" selected="0">
            <x v="0"/>
          </reference>
          <reference field="3" count="1" selected="0">
            <x v="0"/>
          </reference>
        </references>
      </pivotArea>
    </chartFormat>
    <chartFormat chart="1" format="15" series="1">
      <pivotArea type="data" outline="0" fieldPosition="0">
        <references count="2">
          <reference field="4294967294" count="1" selected="0">
            <x v="0"/>
          </reference>
          <reference field="3" count="1" selected="0">
            <x v="1"/>
          </reference>
        </references>
      </pivotArea>
    </chartFormat>
    <chartFormat chart="1" format="16" series="1">
      <pivotArea type="data" outline="0" fieldPosition="0">
        <references count="2">
          <reference field="4294967294" count="1" selected="0">
            <x v="0"/>
          </reference>
          <reference field="3" count="1" selected="0">
            <x v="2"/>
          </reference>
        </references>
      </pivotArea>
    </chartFormat>
    <chartFormat chart="1" format="17" series="1">
      <pivotArea type="data" outline="0" fieldPosition="0">
        <references count="2">
          <reference field="4294967294" count="1" selected="0">
            <x v="0"/>
          </reference>
          <reference field="3"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B69:D79" firstHeaderRow="0" firstDataRow="1" firstDataCol="1"/>
  <pivotFields count="12">
    <pivotField showAll="0"/>
    <pivotField axis="axisRow" showAll="0">
      <items count="11">
        <item x="0"/>
        <item x="4"/>
        <item x="7"/>
        <item x="9"/>
        <item x="8"/>
        <item x="3"/>
        <item x="6"/>
        <item x="2"/>
        <item x="5"/>
        <item x="1"/>
        <item t="default"/>
      </items>
    </pivotField>
    <pivotField showAll="0"/>
    <pivotField showAll="0"/>
    <pivotField dataField="1" numFmtId="164" showAll="0"/>
    <pivotField dataField="1" numFmtId="164" showAll="0"/>
    <pivotField showAll="0"/>
    <pivotField showAll="0">
      <items count="5">
        <item h="1" x="2"/>
        <item h="1" x="3"/>
        <item h="1" x="0"/>
        <item x="1"/>
        <item t="default"/>
      </items>
    </pivotField>
    <pivotField numFmtId="9" showAll="0"/>
    <pivotField showAll="0"/>
    <pivotField showAll="0">
      <items count="13">
        <item x="0"/>
        <item x="1"/>
        <item x="2"/>
        <item x="3"/>
        <item x="4"/>
        <item x="5"/>
        <item x="6"/>
        <item x="7"/>
        <item x="8"/>
        <item x="9"/>
        <item x="10"/>
        <item x="11"/>
        <item t="default"/>
      </items>
    </pivotField>
    <pivotField showAll="0"/>
  </pivotFields>
  <rowFields count="1">
    <field x="1"/>
  </rowFields>
  <rowItems count="10">
    <i>
      <x/>
    </i>
    <i>
      <x v="1"/>
    </i>
    <i>
      <x v="3"/>
    </i>
    <i>
      <x v="4"/>
    </i>
    <i>
      <x v="5"/>
    </i>
    <i>
      <x v="6"/>
    </i>
    <i>
      <x v="7"/>
    </i>
    <i>
      <x v="8"/>
    </i>
    <i>
      <x v="9"/>
    </i>
    <i t="grand">
      <x/>
    </i>
  </rowItems>
  <colFields count="1">
    <field x="-2"/>
  </colFields>
  <colItems count="2">
    <i>
      <x/>
    </i>
    <i i="1">
      <x v="1"/>
    </i>
  </colItems>
  <dataFields count="2">
    <dataField name="Sum of Buying Price" fld="4" baseField="0" baseItem="0"/>
    <dataField name="Sum of Selling Price" fld="5" baseField="0" baseItem="0"/>
  </dataFields>
  <formats count="8">
    <format dxfId="55">
      <pivotArea field="1" type="button" dataOnly="0" labelOnly="1" outline="0" axis="axisRow" fieldPosition="0"/>
    </format>
    <format dxfId="54">
      <pivotArea dataOnly="0" labelOnly="1" outline="0" fieldPosition="0">
        <references count="1">
          <reference field="4294967294" count="2">
            <x v="0"/>
            <x v="1"/>
          </reference>
        </references>
      </pivotArea>
    </format>
    <format dxfId="53">
      <pivotArea dataOnly="0" grandRow="1" fieldPosition="0"/>
    </format>
    <format dxfId="52">
      <pivotArea dataOnly="0" fieldPosition="0">
        <references count="1">
          <reference field="1" count="0"/>
        </references>
      </pivotArea>
    </format>
    <format dxfId="51">
      <pivotArea field="1" type="button" dataOnly="0" labelOnly="1" outline="0" axis="axisRow" fieldPosition="0"/>
    </format>
    <format dxfId="50">
      <pivotArea dataOnly="0" labelOnly="1" outline="0" fieldPosition="0">
        <references count="1">
          <reference field="4294967294" count="2">
            <x v="0"/>
            <x v="1"/>
          </reference>
        </references>
      </pivotArea>
    </format>
    <format dxfId="49">
      <pivotArea field="1" type="button" dataOnly="0" labelOnly="1" outline="0" axis="axisRow" fieldPosition="0"/>
    </format>
    <format dxfId="48">
      <pivotArea dataOnly="0" labelOnly="1" outline="0" fieldPosition="0">
        <references count="1">
          <reference field="4294967294" count="2">
            <x v="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B86:C99" firstHeaderRow="1" firstDataRow="1" firstDataCol="1"/>
  <pivotFields count="12">
    <pivotField showAll="0"/>
    <pivotField showAll="0">
      <items count="11">
        <item x="0"/>
        <item x="4"/>
        <item x="7"/>
        <item x="9"/>
        <item x="8"/>
        <item x="3"/>
        <item x="6"/>
        <item x="2"/>
        <item x="5"/>
        <item x="1"/>
        <item t="default"/>
      </items>
    </pivotField>
    <pivotField showAll="0"/>
    <pivotField showAll="0"/>
    <pivotField numFmtId="164" showAll="0"/>
    <pivotField dataField="1" numFmtId="164" showAll="0"/>
    <pivotField showAll="0"/>
    <pivotField showAll="0">
      <items count="5">
        <item h="1" x="2"/>
        <item h="1" x="3"/>
        <item h="1" x="0"/>
        <item x="1"/>
        <item t="default"/>
      </items>
    </pivotField>
    <pivotField numFmtId="9" showAll="0"/>
    <pivotField showAll="0"/>
    <pivotField axis="axisRow" showAll="0">
      <items count="13">
        <item x="0"/>
        <item x="1"/>
        <item x="2"/>
        <item x="3"/>
        <item x="4"/>
        <item x="5"/>
        <item x="6"/>
        <item x="7"/>
        <item x="8"/>
        <item x="9"/>
        <item x="10"/>
        <item x="11"/>
        <item t="default"/>
      </items>
    </pivotField>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elling Price" fld="5" baseField="0" baseItem="0"/>
  </dataFields>
  <formats count="4">
    <format dxfId="59">
      <pivotArea field="10" type="button" dataOnly="0" labelOnly="1" outline="0" axis="axisRow" fieldPosition="0"/>
    </format>
    <format dxfId="58">
      <pivotArea dataOnly="0" labelOnly="1" outline="0" fieldPosition="0">
        <references count="1">
          <reference field="4294967294" count="1">
            <x v="0"/>
          </reference>
        </references>
      </pivotArea>
    </format>
    <format dxfId="57">
      <pivotArea dataOnly="0" grandRow="1" fieldPosition="0"/>
    </format>
    <format dxfId="56">
      <pivotArea dataOnly="0" fieldPosition="0">
        <references count="1">
          <reference field="10" count="0"/>
        </references>
      </pivotArea>
    </format>
  </formats>
  <chartFormats count="1">
    <chartFormat chart="1" format="3"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104:P110" firstHeaderRow="1" firstDataRow="2" firstDataCol="1"/>
  <pivotFields count="13">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axis="axisCol" showAll="0">
      <items count="14">
        <item x="0"/>
        <item x="1"/>
        <item x="2"/>
        <item x="3"/>
        <item x="4"/>
        <item x="5"/>
        <item x="6"/>
        <item x="7"/>
        <item x="8"/>
        <item x="9"/>
        <item x="10"/>
        <item x="11"/>
        <item x="12"/>
        <item t="default"/>
      </items>
    </pivotField>
    <pivotField showAll="0"/>
    <pivotField dataField="1" showAll="0"/>
  </pivotFields>
  <rowFields count="1">
    <field x="2"/>
  </rowFields>
  <rowItems count="5">
    <i>
      <x/>
    </i>
    <i>
      <x v="1"/>
    </i>
    <i>
      <x v="2"/>
    </i>
    <i>
      <x v="3"/>
    </i>
    <i t="grand">
      <x/>
    </i>
  </rowItems>
  <colFields count="1">
    <field x="10"/>
  </colFields>
  <colItems count="14">
    <i>
      <x/>
    </i>
    <i>
      <x v="1"/>
    </i>
    <i>
      <x v="2"/>
    </i>
    <i>
      <x v="3"/>
    </i>
    <i>
      <x v="4"/>
    </i>
    <i>
      <x v="5"/>
    </i>
    <i>
      <x v="6"/>
    </i>
    <i>
      <x v="7"/>
    </i>
    <i>
      <x v="8"/>
    </i>
    <i>
      <x v="9"/>
    </i>
    <i>
      <x v="10"/>
    </i>
    <i>
      <x v="11"/>
    </i>
    <i>
      <x v="12"/>
    </i>
    <i t="grand">
      <x/>
    </i>
  </colItems>
  <dataFields count="1">
    <dataField name="Sum of Target" fld="12" baseField="2" baseItem="0"/>
  </dataFields>
  <formats count="11">
    <format dxfId="70">
      <pivotArea grandRow="1" outline="0" collapsedLevelsAreSubtotals="1" fieldPosition="0"/>
    </format>
    <format dxfId="69">
      <pivotArea dataOnly="0" labelOnly="1" grandRow="1" outline="0" fieldPosition="0"/>
    </format>
    <format dxfId="68">
      <pivotArea dataOnly="0" labelOnly="1" fieldPosition="0">
        <references count="1">
          <reference field="10" count="0"/>
        </references>
      </pivotArea>
    </format>
    <format dxfId="67">
      <pivotArea dataOnly="0" labelOnly="1" grandCol="1" outline="0" fieldPosition="0"/>
    </format>
    <format dxfId="66">
      <pivotArea dataOnly="0" fieldPosition="0">
        <references count="1">
          <reference field="2" count="0"/>
        </references>
      </pivotArea>
    </format>
    <format dxfId="65">
      <pivotArea outline="0" collapsedLevelsAreSubtotals="1" fieldPosition="0"/>
    </format>
    <format dxfId="64">
      <pivotArea dataOnly="0" grandRow="1" fieldPosition="0"/>
    </format>
    <format dxfId="63">
      <pivotArea dataOnly="0" labelOnly="1" fieldPosition="0">
        <references count="1">
          <reference field="10" count="0"/>
        </references>
      </pivotArea>
    </format>
    <format dxfId="62">
      <pivotArea dataOnly="0" labelOnly="1" grandCol="1" outline="0" fieldPosition="0"/>
    </format>
    <format dxfId="61">
      <pivotArea dataOnly="0" labelOnly="1" fieldPosition="0">
        <references count="1">
          <reference field="10" count="0"/>
        </references>
      </pivotArea>
    </format>
    <format dxfId="60">
      <pivotArea dataOnly="0" labelOnly="1" grandCol="1" outline="0" fieldPosition="0"/>
    </format>
  </formats>
  <chartFormats count="13">
    <chartFormat chart="4" format="13" series="1">
      <pivotArea type="data" outline="0" fieldPosition="0">
        <references count="2">
          <reference field="4294967294" count="1" selected="0">
            <x v="0"/>
          </reference>
          <reference field="10" count="1" selected="0">
            <x v="0"/>
          </reference>
        </references>
      </pivotArea>
    </chartFormat>
    <chartFormat chart="4" format="14" series="1">
      <pivotArea type="data" outline="0" fieldPosition="0">
        <references count="2">
          <reference field="4294967294" count="1" selected="0">
            <x v="0"/>
          </reference>
          <reference field="10" count="1" selected="0">
            <x v="1"/>
          </reference>
        </references>
      </pivotArea>
    </chartFormat>
    <chartFormat chart="4" format="15" series="1">
      <pivotArea type="data" outline="0" fieldPosition="0">
        <references count="2">
          <reference field="4294967294" count="1" selected="0">
            <x v="0"/>
          </reference>
          <reference field="10" count="1" selected="0">
            <x v="2"/>
          </reference>
        </references>
      </pivotArea>
    </chartFormat>
    <chartFormat chart="4" format="16" series="1">
      <pivotArea type="data" outline="0" fieldPosition="0">
        <references count="2">
          <reference field="4294967294" count="1" selected="0">
            <x v="0"/>
          </reference>
          <reference field="10" count="1" selected="0">
            <x v="3"/>
          </reference>
        </references>
      </pivotArea>
    </chartFormat>
    <chartFormat chart="4" format="17" series="1">
      <pivotArea type="data" outline="0" fieldPosition="0">
        <references count="2">
          <reference field="4294967294" count="1" selected="0">
            <x v="0"/>
          </reference>
          <reference field="10" count="1" selected="0">
            <x v="4"/>
          </reference>
        </references>
      </pivotArea>
    </chartFormat>
    <chartFormat chart="4" format="18" series="1">
      <pivotArea type="data" outline="0" fieldPosition="0">
        <references count="2">
          <reference field="4294967294" count="1" selected="0">
            <x v="0"/>
          </reference>
          <reference field="10" count="1" selected="0">
            <x v="5"/>
          </reference>
        </references>
      </pivotArea>
    </chartFormat>
    <chartFormat chart="4" format="19" series="1">
      <pivotArea type="data" outline="0" fieldPosition="0">
        <references count="2">
          <reference field="4294967294" count="1" selected="0">
            <x v="0"/>
          </reference>
          <reference field="10" count="1" selected="0">
            <x v="6"/>
          </reference>
        </references>
      </pivotArea>
    </chartFormat>
    <chartFormat chart="4" format="20" series="1">
      <pivotArea type="data" outline="0" fieldPosition="0">
        <references count="2">
          <reference field="4294967294" count="1" selected="0">
            <x v="0"/>
          </reference>
          <reference field="10" count="1" selected="0">
            <x v="7"/>
          </reference>
        </references>
      </pivotArea>
    </chartFormat>
    <chartFormat chart="4" format="21" series="1">
      <pivotArea type="data" outline="0" fieldPosition="0">
        <references count="2">
          <reference field="4294967294" count="1" selected="0">
            <x v="0"/>
          </reference>
          <reference field="10" count="1" selected="0">
            <x v="8"/>
          </reference>
        </references>
      </pivotArea>
    </chartFormat>
    <chartFormat chart="4" format="22" series="1">
      <pivotArea type="data" outline="0" fieldPosition="0">
        <references count="2">
          <reference field="4294967294" count="1" selected="0">
            <x v="0"/>
          </reference>
          <reference field="10" count="1" selected="0">
            <x v="9"/>
          </reference>
        </references>
      </pivotArea>
    </chartFormat>
    <chartFormat chart="4" format="23" series="1">
      <pivotArea type="data" outline="0" fieldPosition="0">
        <references count="2">
          <reference field="4294967294" count="1" selected="0">
            <x v="0"/>
          </reference>
          <reference field="10" count="1" selected="0">
            <x v="10"/>
          </reference>
        </references>
      </pivotArea>
    </chartFormat>
    <chartFormat chart="4" format="24" series="1">
      <pivotArea type="data" outline="0" fieldPosition="0">
        <references count="2">
          <reference field="4294967294" count="1" selected="0">
            <x v="0"/>
          </reference>
          <reference field="10" count="1" selected="0">
            <x v="11"/>
          </reference>
        </references>
      </pivotArea>
    </chartFormat>
    <chartFormat chart="4" format="25" series="1">
      <pivotArea type="data" outline="0" fieldPosition="0">
        <references count="2">
          <reference field="4294967294" count="1" selected="0">
            <x v="0"/>
          </reference>
          <reference field="10" count="1" selected="0">
            <x v="1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21"/>
    <pivotTable tabId="4" name="PivotTable13"/>
    <pivotTable tabId="4" name="PivotTable15"/>
    <pivotTable tabId="4" name="PivotTable17"/>
    <pivotTable tabId="4" name="PivotTable23"/>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23"/>
    <pivotTable tabId="4" name="PivotTable13"/>
    <pivotTable tabId="4" name="PivotTable15"/>
    <pivotTable tabId="4" name="PivotTable17"/>
    <pivotTable tabId="4" name="PivotTable21"/>
  </pivotTables>
  <data>
    <tabular pivotCacheId="1">
      <items count="10">
        <i x="0" s="1"/>
        <i x="4" s="1"/>
        <i x="9" s="1"/>
        <i x="8" s="1"/>
        <i x="3" s="1"/>
        <i x="6" s="1"/>
        <i x="2" s="1"/>
        <i x="5" s="1"/>
        <i x="1"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Type" sourceName="Sales_Type">
  <pivotTables>
    <pivotTable tabId="4" name="PivotTable15"/>
    <pivotTable tabId="4" name="PivotTable13"/>
    <pivotTable tabId="4" name="PivotTable17"/>
    <pivotTable tabId="4" name="PivotTable21"/>
    <pivotTable tabId="4" name="PivotTable23"/>
  </pivotTables>
  <data>
    <tabular pivotCacheId="1">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6" style="SlicerStyleDark4" rowHeight="288000"/>
  <slicer name="Product" cache="Slicer_Product" caption="Product" columnCount="2" style="SlicerStyleDark4" rowHeight="241300"/>
  <slicer name="Sales_Type" cache="Slicer_Sales_Type" caption="Sales_Type" columnCount="4" style="SlicerStyleDark4" rowHeight="241300"/>
</slicers>
</file>

<file path=xl/tables/table1.xml><?xml version="1.0" encoding="utf-8"?>
<table xmlns="http://schemas.openxmlformats.org/spreadsheetml/2006/main" id="1" name="Table1" displayName="Table1" ref="A1:M101" totalsRowShown="0" headerRowDxfId="5" headerRowBorderDxfId="4" tableBorderDxfId="3">
  <autoFilter ref="A1:M101"/>
  <tableColumns count="13">
    <tableColumn id="1" name="ProductID"/>
    <tableColumn id="2" name="Product"/>
    <tableColumn id="3" name="Category"/>
    <tableColumn id="4" name="UDM"/>
    <tableColumn id="5" name="Buying Price" dataDxfId="2"/>
    <tableColumn id="6" name="Selling Price" dataDxfId="1"/>
    <tableColumn id="7" name="Quantity"/>
    <tableColumn id="8" name="Sales_Type"/>
    <tableColumn id="9" name="Discount"/>
    <tableColumn id="12" name="Day"/>
    <tableColumn id="13" name="Month"/>
    <tableColumn id="14" name="Year" dataDxfId="0"/>
    <tableColumn id="10" name="Targe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10"/>
  <sheetViews>
    <sheetView showGridLines="0" showRowColHeaders="0" zoomScale="25" zoomScaleNormal="25" workbookViewId="0">
      <selection activeCell="AE26" sqref="AE26"/>
    </sheetView>
  </sheetViews>
  <sheetFormatPr defaultColWidth="15.6328125" defaultRowHeight="20" customHeight="1" x14ac:dyDescent="0.35"/>
  <cols>
    <col min="1" max="1" width="1.6328125" customWidth="1"/>
    <col min="2" max="2" width="29.54296875" customWidth="1"/>
    <col min="3" max="3" width="24.453125" customWidth="1"/>
    <col min="4" max="4" width="12.81640625" customWidth="1"/>
    <col min="5" max="5" width="25.90625" customWidth="1"/>
    <col min="6" max="6" width="29.90625" customWidth="1"/>
    <col min="7" max="7" width="13.90625" customWidth="1"/>
    <col min="8" max="8" width="13.81640625" customWidth="1"/>
    <col min="9" max="9" width="16.1796875" customWidth="1"/>
    <col min="10" max="10" width="7.7265625" customWidth="1"/>
    <col min="11" max="11" width="6.7265625" customWidth="1"/>
    <col min="12" max="12" width="5.7265625" customWidth="1"/>
    <col min="13" max="13" width="6.36328125" customWidth="1"/>
    <col min="14" max="14" width="7.26953125" customWidth="1"/>
    <col min="15" max="15" width="8.984375E-2" hidden="1" customWidth="1"/>
    <col min="16" max="16" width="9.6328125" customWidth="1"/>
  </cols>
  <sheetData>
    <row r="2" spans="1:11" ht="20" customHeight="1" x14ac:dyDescent="0.35">
      <c r="E2" s="32" t="s">
        <v>153</v>
      </c>
      <c r="F2" s="32"/>
      <c r="G2" s="33"/>
      <c r="H2" s="36"/>
    </row>
    <row r="3" spans="1:11" s="25" customFormat="1" ht="20" customHeight="1" x14ac:dyDescent="0.6">
      <c r="E3" s="26"/>
      <c r="F3" s="26"/>
    </row>
    <row r="4" spans="1:11" s="25" customFormat="1" ht="20" customHeight="1" x14ac:dyDescent="0.6">
      <c r="E4" s="26"/>
      <c r="F4" s="26"/>
    </row>
    <row r="5" spans="1:11" s="25" customFormat="1" ht="20" customHeight="1" x14ac:dyDescent="0.35">
      <c r="B5" s="35"/>
      <c r="C5" s="39" t="s">
        <v>154</v>
      </c>
      <c r="D5" s="39"/>
      <c r="E5" s="30"/>
      <c r="F5" s="42" t="s">
        <v>155</v>
      </c>
      <c r="G5" s="42"/>
      <c r="I5" s="39" t="s">
        <v>156</v>
      </c>
      <c r="J5" s="40"/>
      <c r="K5" s="28"/>
    </row>
    <row r="6" spans="1:11" s="25" customFormat="1" ht="20" customHeight="1" x14ac:dyDescent="0.35">
      <c r="B6" s="28"/>
      <c r="C6" s="44">
        <f>SUMPRODUCT((Data!F2:F100 - Data!E2:E100), Data!G2:G100)</f>
        <v>423089.93000000011</v>
      </c>
      <c r="D6" s="44"/>
      <c r="E6" s="29"/>
      <c r="F6" s="43">
        <f>SUMPRODUCT((Data!F2:F101 - Data!E2:E101), Data!G2:G101)</f>
        <v>434105.83000000013</v>
      </c>
      <c r="G6" s="43"/>
      <c r="I6" s="41">
        <f>SUM(Table1[Discount])</f>
        <v>18.579999999999998</v>
      </c>
      <c r="J6" s="41"/>
      <c r="K6" s="27"/>
    </row>
    <row r="7" spans="1:11" s="25" customFormat="1" ht="20" customHeight="1" x14ac:dyDescent="0.35">
      <c r="B7" s="28"/>
      <c r="C7" s="28"/>
      <c r="E7" s="29"/>
      <c r="F7" s="29"/>
      <c r="I7" s="27"/>
      <c r="J7" s="27"/>
      <c r="K7" s="27"/>
    </row>
    <row r="8" spans="1:11" s="25" customFormat="1" ht="20" customHeight="1" x14ac:dyDescent="0.35">
      <c r="B8" s="28"/>
      <c r="C8" s="28"/>
      <c r="E8" s="29"/>
      <c r="F8" s="29"/>
      <c r="I8" s="27"/>
      <c r="J8" s="27"/>
      <c r="K8" s="27"/>
    </row>
    <row r="16" spans="1:11" ht="14.5" x14ac:dyDescent="0.35">
      <c r="A16" s="15"/>
      <c r="B16" s="16" t="s">
        <v>149</v>
      </c>
      <c r="C16" s="31" t="s">
        <v>147</v>
      </c>
    </row>
    <row r="17" spans="1:6" ht="14.5" x14ac:dyDescent="0.35">
      <c r="B17" s="16" t="s">
        <v>145</v>
      </c>
      <c r="C17" s="17" t="s">
        <v>116</v>
      </c>
      <c r="D17" s="17" t="s">
        <v>117</v>
      </c>
      <c r="E17" s="17" t="s">
        <v>118</v>
      </c>
      <c r="F17" s="17" t="s">
        <v>146</v>
      </c>
    </row>
    <row r="18" spans="1:6" ht="20" customHeight="1" x14ac:dyDescent="0.35">
      <c r="B18" s="12" t="s">
        <v>106</v>
      </c>
      <c r="C18" s="13">
        <v>677.61</v>
      </c>
      <c r="D18" s="13">
        <v>1457.25</v>
      </c>
      <c r="E18" s="13">
        <v>351.35</v>
      </c>
      <c r="F18" s="13">
        <v>2486.21</v>
      </c>
    </row>
    <row r="19" spans="1:6" ht="20" customHeight="1" x14ac:dyDescent="0.35">
      <c r="A19" s="8"/>
      <c r="B19" s="12" t="s">
        <v>110</v>
      </c>
      <c r="C19" s="13">
        <v>513.24</v>
      </c>
      <c r="D19" s="13">
        <v>727.56</v>
      </c>
      <c r="E19" s="13">
        <v>101.5</v>
      </c>
      <c r="F19" s="13">
        <v>1342.3</v>
      </c>
    </row>
    <row r="20" spans="1:6" ht="20" customHeight="1" x14ac:dyDescent="0.35">
      <c r="A20" s="8"/>
      <c r="B20" s="12" t="s">
        <v>115</v>
      </c>
      <c r="C20" s="13">
        <v>1449.69</v>
      </c>
      <c r="D20" s="13">
        <v>1530.37</v>
      </c>
      <c r="E20" s="13"/>
      <c r="F20" s="13">
        <v>2980.06</v>
      </c>
    </row>
    <row r="21" spans="1:6" ht="20" customHeight="1" x14ac:dyDescent="0.35">
      <c r="A21" s="8"/>
      <c r="B21" s="12" t="s">
        <v>114</v>
      </c>
      <c r="C21" s="13">
        <v>971.52</v>
      </c>
      <c r="D21" s="13">
        <v>964.27</v>
      </c>
      <c r="E21" s="13">
        <v>450.82</v>
      </c>
      <c r="F21" s="13">
        <v>2386.61</v>
      </c>
    </row>
    <row r="22" spans="1:6" ht="20" customHeight="1" x14ac:dyDescent="0.35">
      <c r="A22" s="8"/>
      <c r="B22" s="12" t="s">
        <v>109</v>
      </c>
      <c r="C22" s="13">
        <v>947.6</v>
      </c>
      <c r="D22" s="13">
        <v>727.71</v>
      </c>
      <c r="E22" s="13"/>
      <c r="F22" s="13">
        <v>1675.31</v>
      </c>
    </row>
    <row r="23" spans="1:6" ht="20" customHeight="1" x14ac:dyDescent="0.35">
      <c r="A23" s="8"/>
      <c r="B23" s="12" t="s">
        <v>112</v>
      </c>
      <c r="C23" s="13">
        <v>1419.26</v>
      </c>
      <c r="D23" s="13">
        <v>206.69</v>
      </c>
      <c r="E23" s="13"/>
      <c r="F23" s="13">
        <v>1625.95</v>
      </c>
    </row>
    <row r="24" spans="1:6" ht="20" customHeight="1" x14ac:dyDescent="0.35">
      <c r="A24" s="8"/>
      <c r="B24" s="12" t="s">
        <v>108</v>
      </c>
      <c r="C24" s="13">
        <v>964.08</v>
      </c>
      <c r="D24" s="13"/>
      <c r="E24" s="13">
        <v>387.21</v>
      </c>
      <c r="F24" s="13">
        <v>1351.29</v>
      </c>
    </row>
    <row r="25" spans="1:6" ht="20" customHeight="1" x14ac:dyDescent="0.35">
      <c r="A25" s="8"/>
      <c r="B25" s="12" t="s">
        <v>111</v>
      </c>
      <c r="C25" s="13"/>
      <c r="D25" s="13"/>
      <c r="E25" s="13">
        <v>340.79</v>
      </c>
      <c r="F25" s="13">
        <v>340.79</v>
      </c>
    </row>
    <row r="26" spans="1:6" ht="20" customHeight="1" x14ac:dyDescent="0.35">
      <c r="A26" s="8"/>
      <c r="B26" s="12" t="s">
        <v>107</v>
      </c>
      <c r="C26" s="13">
        <v>820.79</v>
      </c>
      <c r="D26" s="13">
        <v>1624.77</v>
      </c>
      <c r="E26" s="13">
        <v>320.31</v>
      </c>
      <c r="F26" s="13">
        <v>2765.87</v>
      </c>
    </row>
    <row r="27" spans="1:6" ht="20" customHeight="1" x14ac:dyDescent="0.35">
      <c r="A27" s="8"/>
      <c r="B27" s="23" t="s">
        <v>146</v>
      </c>
      <c r="C27" s="22">
        <v>7763.79</v>
      </c>
      <c r="D27" s="22">
        <v>7238.619999999999</v>
      </c>
      <c r="E27" s="22">
        <v>1951.98</v>
      </c>
      <c r="F27" s="22">
        <v>16954.39</v>
      </c>
    </row>
    <row r="28" spans="1:6" ht="20" customHeight="1" x14ac:dyDescent="0.35">
      <c r="A28" s="8"/>
    </row>
    <row r="29" spans="1:6" ht="20" customHeight="1" x14ac:dyDescent="0.35">
      <c r="A29" s="8"/>
      <c r="B29" s="9"/>
      <c r="C29" s="9"/>
      <c r="D29" s="9"/>
      <c r="E29" s="9"/>
    </row>
    <row r="34" spans="1:15" ht="14.5" x14ac:dyDescent="0.35">
      <c r="E34" s="18" t="s">
        <v>145</v>
      </c>
      <c r="F34" s="18" t="s">
        <v>148</v>
      </c>
    </row>
    <row r="35" spans="1:15" ht="20" customHeight="1" x14ac:dyDescent="0.35">
      <c r="A35" s="8"/>
      <c r="B35" s="8"/>
      <c r="C35" s="9"/>
      <c r="D35" s="8"/>
      <c r="E35" s="12" t="s">
        <v>126</v>
      </c>
      <c r="F35" s="13">
        <v>23025.770000000004</v>
      </c>
    </row>
    <row r="36" spans="1:15" ht="20" customHeight="1" x14ac:dyDescent="0.35">
      <c r="A36" s="8"/>
      <c r="B36" s="8"/>
      <c r="C36" s="9"/>
      <c r="D36" s="8"/>
      <c r="E36" s="10" t="s">
        <v>146</v>
      </c>
      <c r="F36" s="11">
        <v>23025.770000000004</v>
      </c>
    </row>
    <row r="37" spans="1:15" ht="20" customHeight="1" x14ac:dyDescent="0.35">
      <c r="A37" s="8"/>
      <c r="B37" s="8"/>
      <c r="C37" s="9"/>
      <c r="D37" s="8"/>
    </row>
    <row r="38" spans="1:15" ht="20" customHeight="1" x14ac:dyDescent="0.35">
      <c r="A38" s="8"/>
      <c r="B38" s="8"/>
      <c r="C38" s="9"/>
      <c r="D38" s="8"/>
    </row>
    <row r="39" spans="1:15" ht="20" customHeight="1" x14ac:dyDescent="0.35">
      <c r="A39" s="8"/>
      <c r="B39" s="8"/>
      <c r="C39" s="9"/>
      <c r="D39" s="8"/>
    </row>
    <row r="41" spans="1:15" ht="20" customHeight="1" x14ac:dyDescent="0.35">
      <c r="O41">
        <f>Dashboard!P1</f>
        <v>0</v>
      </c>
    </row>
    <row r="51" spans="1:7" ht="14.5" x14ac:dyDescent="0.35">
      <c r="B51" s="16" t="s">
        <v>148</v>
      </c>
      <c r="C51" s="7" t="s">
        <v>147</v>
      </c>
    </row>
    <row r="52" spans="1:7" ht="14.5" x14ac:dyDescent="0.35">
      <c r="B52" s="16" t="s">
        <v>145</v>
      </c>
      <c r="C52" s="17" t="s">
        <v>121</v>
      </c>
      <c r="D52" s="17" t="s">
        <v>119</v>
      </c>
      <c r="E52" s="17" t="s">
        <v>120</v>
      </c>
      <c r="F52" s="17" t="s">
        <v>122</v>
      </c>
      <c r="G52" s="17" t="s">
        <v>146</v>
      </c>
    </row>
    <row r="53" spans="1:7" ht="20" customHeight="1" x14ac:dyDescent="0.35">
      <c r="A53" s="8"/>
      <c r="B53" s="12" t="s">
        <v>116</v>
      </c>
      <c r="C53" s="13">
        <v>4198.9800000000005</v>
      </c>
      <c r="D53" s="13">
        <v>4001.82</v>
      </c>
      <c r="E53" s="13">
        <v>2451.7399999999998</v>
      </c>
      <c r="F53" s="13"/>
      <c r="G53" s="13">
        <v>10652.54</v>
      </c>
    </row>
    <row r="54" spans="1:7" ht="20" customHeight="1" x14ac:dyDescent="0.35">
      <c r="A54" s="8"/>
      <c r="B54" s="12" t="s">
        <v>117</v>
      </c>
      <c r="C54" s="13">
        <v>1923.86</v>
      </c>
      <c r="D54" s="13">
        <v>2299.9</v>
      </c>
      <c r="E54" s="13">
        <v>2426.5100000000002</v>
      </c>
      <c r="F54" s="13">
        <v>3202.37</v>
      </c>
      <c r="G54" s="13">
        <v>9852.64</v>
      </c>
    </row>
    <row r="55" spans="1:7" ht="20" customHeight="1" x14ac:dyDescent="0.35">
      <c r="A55" s="8"/>
      <c r="B55" s="12" t="s">
        <v>118</v>
      </c>
      <c r="C55" s="13">
        <v>926.11</v>
      </c>
      <c r="D55" s="13"/>
      <c r="E55" s="13">
        <v>1482.35</v>
      </c>
      <c r="F55" s="13">
        <v>112.13</v>
      </c>
      <c r="G55" s="13">
        <v>2520.59</v>
      </c>
    </row>
    <row r="56" spans="1:7" ht="20" customHeight="1" x14ac:dyDescent="0.35">
      <c r="A56" s="8"/>
      <c r="B56" s="10" t="s">
        <v>146</v>
      </c>
      <c r="C56" s="11">
        <v>7048.95</v>
      </c>
      <c r="D56" s="11">
        <v>6301.72</v>
      </c>
      <c r="E56" s="11">
        <v>6360.6</v>
      </c>
      <c r="F56" s="11">
        <v>3314.5</v>
      </c>
      <c r="G56" s="11">
        <v>23025.77</v>
      </c>
    </row>
    <row r="69" spans="1:4" ht="14.5" x14ac:dyDescent="0.35">
      <c r="B69" s="20" t="s">
        <v>145</v>
      </c>
      <c r="C69" s="20" t="s">
        <v>149</v>
      </c>
      <c r="D69" s="20" t="s">
        <v>148</v>
      </c>
    </row>
    <row r="70" spans="1:4" ht="20" customHeight="1" x14ac:dyDescent="0.35">
      <c r="A70" s="8"/>
      <c r="B70" s="12" t="s">
        <v>106</v>
      </c>
      <c r="C70" s="13">
        <v>2486.21</v>
      </c>
      <c r="D70" s="13">
        <v>3252.7200000000003</v>
      </c>
    </row>
    <row r="71" spans="1:4" ht="20" customHeight="1" x14ac:dyDescent="0.35">
      <c r="A71" s="8"/>
      <c r="B71" s="12" t="s">
        <v>110</v>
      </c>
      <c r="C71" s="13">
        <v>1342.3</v>
      </c>
      <c r="D71" s="13">
        <v>1841.48</v>
      </c>
    </row>
    <row r="72" spans="1:4" ht="20" customHeight="1" x14ac:dyDescent="0.35">
      <c r="A72" s="8"/>
      <c r="B72" s="12" t="s">
        <v>115</v>
      </c>
      <c r="C72" s="13">
        <v>2980.0600000000004</v>
      </c>
      <c r="D72" s="13">
        <v>3895.71</v>
      </c>
    </row>
    <row r="73" spans="1:4" ht="20" customHeight="1" x14ac:dyDescent="0.35">
      <c r="A73" s="8"/>
      <c r="B73" s="12" t="s">
        <v>114</v>
      </c>
      <c r="C73" s="13">
        <v>2386.61</v>
      </c>
      <c r="D73" s="13">
        <v>3511.23</v>
      </c>
    </row>
    <row r="74" spans="1:4" ht="20" customHeight="1" x14ac:dyDescent="0.35">
      <c r="A74" s="8"/>
      <c r="B74" s="12" t="s">
        <v>109</v>
      </c>
      <c r="C74" s="13">
        <v>1675.31</v>
      </c>
      <c r="D74" s="13">
        <v>2249.6999999999998</v>
      </c>
    </row>
    <row r="75" spans="1:4" ht="20" customHeight="1" x14ac:dyDescent="0.35">
      <c r="A75" s="8"/>
      <c r="B75" s="12" t="s">
        <v>112</v>
      </c>
      <c r="C75" s="13">
        <v>1625.95</v>
      </c>
      <c r="D75" s="13">
        <v>2127.41</v>
      </c>
    </row>
    <row r="76" spans="1:4" ht="20" customHeight="1" x14ac:dyDescent="0.35">
      <c r="A76" s="8"/>
      <c r="B76" s="12" t="s">
        <v>108</v>
      </c>
      <c r="C76" s="13">
        <v>1351.29</v>
      </c>
      <c r="D76" s="13">
        <v>1866.34</v>
      </c>
    </row>
    <row r="77" spans="1:4" ht="20" customHeight="1" x14ac:dyDescent="0.35">
      <c r="A77" s="8"/>
      <c r="B77" s="12" t="s">
        <v>111</v>
      </c>
      <c r="C77" s="13">
        <v>340.79</v>
      </c>
      <c r="D77" s="13">
        <v>485.82</v>
      </c>
    </row>
    <row r="78" spans="1:4" ht="20" customHeight="1" x14ac:dyDescent="0.35">
      <c r="A78" s="8"/>
      <c r="B78" s="12" t="s">
        <v>107</v>
      </c>
      <c r="C78" s="13">
        <v>2765.87</v>
      </c>
      <c r="D78" s="13">
        <v>3795.36</v>
      </c>
    </row>
    <row r="79" spans="1:4" ht="20" customHeight="1" x14ac:dyDescent="0.35">
      <c r="A79" s="8"/>
      <c r="B79" s="10" t="s">
        <v>146</v>
      </c>
      <c r="C79" s="11">
        <v>16954.39</v>
      </c>
      <c r="D79" s="11">
        <v>23025.77</v>
      </c>
    </row>
    <row r="80" spans="1:4" ht="20" customHeight="1" x14ac:dyDescent="0.35">
      <c r="A80" s="8"/>
    </row>
    <row r="86" spans="1:3" ht="20" customHeight="1" x14ac:dyDescent="0.35">
      <c r="B86" s="14" t="s">
        <v>145</v>
      </c>
      <c r="C86" t="s">
        <v>148</v>
      </c>
    </row>
    <row r="87" spans="1:3" ht="20" customHeight="1" x14ac:dyDescent="0.35">
      <c r="A87" s="8"/>
      <c r="B87" s="12" t="s">
        <v>132</v>
      </c>
      <c r="C87" s="13">
        <v>1912.52</v>
      </c>
    </row>
    <row r="88" spans="1:3" ht="20" customHeight="1" x14ac:dyDescent="0.35">
      <c r="A88" s="8"/>
      <c r="B88" s="12" t="s">
        <v>133</v>
      </c>
      <c r="C88" s="13">
        <v>3035.8500000000004</v>
      </c>
    </row>
    <row r="89" spans="1:3" ht="20" customHeight="1" x14ac:dyDescent="0.35">
      <c r="A89" s="8"/>
      <c r="B89" s="12" t="s">
        <v>134</v>
      </c>
      <c r="C89" s="13">
        <v>3286.47</v>
      </c>
    </row>
    <row r="90" spans="1:3" ht="20" customHeight="1" x14ac:dyDescent="0.35">
      <c r="A90" s="8"/>
      <c r="B90" s="12" t="s">
        <v>135</v>
      </c>
      <c r="C90" s="13">
        <v>3173.29</v>
      </c>
    </row>
    <row r="91" spans="1:3" ht="20" customHeight="1" x14ac:dyDescent="0.35">
      <c r="A91" s="8"/>
      <c r="B91" s="12" t="s">
        <v>136</v>
      </c>
      <c r="C91" s="13">
        <v>2231.5300000000002</v>
      </c>
    </row>
    <row r="92" spans="1:3" ht="20" customHeight="1" x14ac:dyDescent="0.35">
      <c r="A92" s="8"/>
      <c r="B92" s="12" t="s">
        <v>137</v>
      </c>
      <c r="C92" s="13">
        <v>691.27</v>
      </c>
    </row>
    <row r="93" spans="1:3" ht="20" customHeight="1" x14ac:dyDescent="0.35">
      <c r="A93" s="8"/>
      <c r="B93" s="12" t="s">
        <v>138</v>
      </c>
      <c r="C93" s="13">
        <v>1615.9699999999998</v>
      </c>
    </row>
    <row r="94" spans="1:3" ht="20" customHeight="1" x14ac:dyDescent="0.35">
      <c r="A94" s="8"/>
      <c r="B94" s="12" t="s">
        <v>139</v>
      </c>
      <c r="C94" s="13">
        <v>1095.0899999999999</v>
      </c>
    </row>
    <row r="95" spans="1:3" ht="20" customHeight="1" x14ac:dyDescent="0.35">
      <c r="A95" s="8"/>
      <c r="B95" s="12" t="s">
        <v>140</v>
      </c>
      <c r="C95" s="13">
        <v>1816.48</v>
      </c>
    </row>
    <row r="96" spans="1:3" ht="20" customHeight="1" x14ac:dyDescent="0.35">
      <c r="A96" s="8"/>
      <c r="B96" s="12" t="s">
        <v>141</v>
      </c>
      <c r="C96" s="13">
        <v>1970.01</v>
      </c>
    </row>
    <row r="97" spans="1:16" ht="20" customHeight="1" x14ac:dyDescent="0.35">
      <c r="A97" s="8"/>
      <c r="B97" s="12" t="s">
        <v>142</v>
      </c>
      <c r="C97" s="13">
        <v>1697.9</v>
      </c>
    </row>
    <row r="98" spans="1:16" ht="20" customHeight="1" x14ac:dyDescent="0.35">
      <c r="A98" s="8"/>
      <c r="B98" s="12" t="s">
        <v>143</v>
      </c>
      <c r="C98" s="13">
        <v>499.39</v>
      </c>
    </row>
    <row r="99" spans="1:16" ht="20" customHeight="1" x14ac:dyDescent="0.35">
      <c r="A99" s="8"/>
      <c r="B99" s="10" t="s">
        <v>146</v>
      </c>
      <c r="C99" s="11">
        <v>23025.77</v>
      </c>
    </row>
    <row r="104" spans="1:16" s="37" customFormat="1" ht="20" customHeight="1" x14ac:dyDescent="0.35">
      <c r="B104" s="38" t="s">
        <v>152</v>
      </c>
      <c r="C104" s="38" t="s">
        <v>147</v>
      </c>
      <c r="D104" s="34"/>
      <c r="E104" s="34"/>
      <c r="F104" s="34"/>
      <c r="G104" s="34"/>
      <c r="H104" s="34"/>
      <c r="I104" s="34"/>
      <c r="J104" s="34"/>
      <c r="K104" s="34"/>
      <c r="L104" s="34"/>
      <c r="M104" s="34"/>
      <c r="N104" s="34"/>
      <c r="O104" s="34"/>
      <c r="P104" s="34"/>
    </row>
    <row r="105" spans="1:16" s="37" customFormat="1" ht="20" customHeight="1" x14ac:dyDescent="0.35">
      <c r="B105" s="38" t="s">
        <v>145</v>
      </c>
      <c r="C105" s="34" t="s">
        <v>132</v>
      </c>
      <c r="D105" s="34" t="s">
        <v>133</v>
      </c>
      <c r="E105" s="34" t="s">
        <v>134</v>
      </c>
      <c r="F105" s="34" t="s">
        <v>135</v>
      </c>
      <c r="G105" s="34" t="s">
        <v>136</v>
      </c>
      <c r="H105" s="34" t="s">
        <v>137</v>
      </c>
      <c r="I105" s="34" t="s">
        <v>138</v>
      </c>
      <c r="J105" s="34" t="s">
        <v>139</v>
      </c>
      <c r="K105" s="34" t="s">
        <v>140</v>
      </c>
      <c r="L105" s="34" t="s">
        <v>141</v>
      </c>
      <c r="M105" s="34" t="s">
        <v>142</v>
      </c>
      <c r="N105" s="34" t="s">
        <v>143</v>
      </c>
      <c r="O105" s="34" t="s">
        <v>151</v>
      </c>
      <c r="P105" s="34" t="s">
        <v>146</v>
      </c>
    </row>
    <row r="106" spans="1:16" ht="20" customHeight="1" x14ac:dyDescent="0.35">
      <c r="B106" s="12" t="s">
        <v>116</v>
      </c>
      <c r="C106" s="21">
        <v>25</v>
      </c>
      <c r="D106" s="21">
        <v>60</v>
      </c>
      <c r="E106" s="21">
        <v>48</v>
      </c>
      <c r="F106" s="21">
        <v>87</v>
      </c>
      <c r="G106" s="21">
        <v>75</v>
      </c>
      <c r="H106" s="21">
        <v>102</v>
      </c>
      <c r="I106" s="21">
        <v>28</v>
      </c>
      <c r="J106" s="21">
        <v>5</v>
      </c>
      <c r="K106" s="21">
        <v>57</v>
      </c>
      <c r="L106" s="21">
        <v>42</v>
      </c>
      <c r="M106" s="21">
        <v>40</v>
      </c>
      <c r="N106" s="21">
        <v>63</v>
      </c>
      <c r="O106" s="21"/>
      <c r="P106" s="21">
        <v>632</v>
      </c>
    </row>
    <row r="107" spans="1:16" ht="20" customHeight="1" x14ac:dyDescent="0.35">
      <c r="B107" s="12" t="s">
        <v>117</v>
      </c>
      <c r="C107" s="21">
        <v>94</v>
      </c>
      <c r="D107" s="21">
        <v>107</v>
      </c>
      <c r="E107" s="21">
        <v>19</v>
      </c>
      <c r="F107" s="21">
        <v>94</v>
      </c>
      <c r="G107" s="21">
        <v>63</v>
      </c>
      <c r="H107" s="21">
        <v>24</v>
      </c>
      <c r="I107" s="21">
        <v>70</v>
      </c>
      <c r="J107" s="21">
        <v>55</v>
      </c>
      <c r="K107" s="21">
        <v>72</v>
      </c>
      <c r="L107" s="21">
        <v>107</v>
      </c>
      <c r="M107" s="21">
        <v>8</v>
      </c>
      <c r="N107" s="21">
        <v>66</v>
      </c>
      <c r="O107" s="21"/>
      <c r="P107" s="21">
        <v>779</v>
      </c>
    </row>
    <row r="108" spans="1:16" ht="20" customHeight="1" x14ac:dyDescent="0.35">
      <c r="B108" s="12" t="s">
        <v>118</v>
      </c>
      <c r="C108" s="21">
        <v>98</v>
      </c>
      <c r="D108" s="21">
        <v>63</v>
      </c>
      <c r="E108" s="21">
        <v>99</v>
      </c>
      <c r="F108" s="21">
        <v>44</v>
      </c>
      <c r="G108" s="21">
        <v>63</v>
      </c>
      <c r="H108" s="21">
        <v>119</v>
      </c>
      <c r="I108" s="21">
        <v>106</v>
      </c>
      <c r="J108" s="21">
        <v>111</v>
      </c>
      <c r="K108" s="21">
        <v>67</v>
      </c>
      <c r="L108" s="21">
        <v>11</v>
      </c>
      <c r="M108" s="21">
        <v>90</v>
      </c>
      <c r="N108" s="21">
        <v>129</v>
      </c>
      <c r="O108" s="21"/>
      <c r="P108" s="21">
        <v>1000</v>
      </c>
    </row>
    <row r="109" spans="1:16" ht="20" customHeight="1" x14ac:dyDescent="0.35">
      <c r="B109" s="12" t="s">
        <v>151</v>
      </c>
      <c r="C109" s="21"/>
      <c r="D109" s="21"/>
      <c r="E109" s="21"/>
      <c r="F109" s="21"/>
      <c r="G109" s="21"/>
      <c r="H109" s="21"/>
      <c r="I109" s="21"/>
      <c r="J109" s="21"/>
      <c r="K109" s="21"/>
      <c r="L109" s="21"/>
      <c r="M109" s="21"/>
      <c r="N109" s="21"/>
      <c r="O109" s="21"/>
      <c r="P109" s="21"/>
    </row>
    <row r="110" spans="1:16" ht="20" customHeight="1" x14ac:dyDescent="0.35">
      <c r="B110" s="19" t="s">
        <v>146</v>
      </c>
      <c r="C110" s="24">
        <v>217</v>
      </c>
      <c r="D110" s="24">
        <v>230</v>
      </c>
      <c r="E110" s="24">
        <v>166</v>
      </c>
      <c r="F110" s="24">
        <v>225</v>
      </c>
      <c r="G110" s="24">
        <v>201</v>
      </c>
      <c r="H110" s="24">
        <v>245</v>
      </c>
      <c r="I110" s="24">
        <v>204</v>
      </c>
      <c r="J110" s="24">
        <v>171</v>
      </c>
      <c r="K110" s="24">
        <v>196</v>
      </c>
      <c r="L110" s="24">
        <v>160</v>
      </c>
      <c r="M110" s="24">
        <v>138</v>
      </c>
      <c r="N110" s="24">
        <v>258</v>
      </c>
      <c r="O110" s="24"/>
      <c r="P110" s="24">
        <v>2411</v>
      </c>
    </row>
  </sheetData>
  <mergeCells count="6">
    <mergeCell ref="I5:J5"/>
    <mergeCell ref="I6:J6"/>
    <mergeCell ref="F5:G5"/>
    <mergeCell ref="F6:G6"/>
    <mergeCell ref="C5:D5"/>
    <mergeCell ref="C6:D6"/>
  </mergeCells>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5"/>
  <sheetViews>
    <sheetView tabSelected="1" topLeftCell="B1" workbookViewId="0">
      <selection activeCell="B1" sqref="A1:XFD1"/>
    </sheetView>
  </sheetViews>
  <sheetFormatPr defaultRowHeight="14.5" x14ac:dyDescent="0.35"/>
  <cols>
    <col min="1" max="1" width="13.36328125" customWidth="1"/>
    <col min="2" max="2" width="11.54296875" customWidth="1"/>
    <col min="3" max="3" width="12.453125" customWidth="1"/>
    <col min="4" max="4" width="10.54296875" customWidth="1"/>
    <col min="5" max="5" width="15.54296875" customWidth="1"/>
    <col min="6" max="6" width="14.6328125" customWidth="1"/>
    <col min="7" max="7" width="13.36328125" customWidth="1"/>
    <col min="8" max="8" width="15.81640625" customWidth="1"/>
    <col min="9" max="9" width="10.7265625" customWidth="1"/>
    <col min="11" max="11" width="9.7265625" customWidth="1"/>
    <col min="12" max="12" width="10.1796875" customWidth="1"/>
    <col min="13" max="13" width="13.1796875" customWidth="1"/>
    <col min="14" max="14" width="10.26953125" customWidth="1"/>
  </cols>
  <sheetData>
    <row r="1" spans="1:13" x14ac:dyDescent="0.35">
      <c r="A1" s="1" t="s">
        <v>0</v>
      </c>
      <c r="B1" s="1" t="s">
        <v>1</v>
      </c>
      <c r="C1" s="1" t="s">
        <v>2</v>
      </c>
      <c r="D1" s="1" t="s">
        <v>3</v>
      </c>
      <c r="E1" s="5" t="s">
        <v>4</v>
      </c>
      <c r="F1" s="5" t="s">
        <v>5</v>
      </c>
      <c r="G1" s="2" t="s">
        <v>123</v>
      </c>
      <c r="H1" s="2" t="s">
        <v>124</v>
      </c>
      <c r="I1" s="2" t="s">
        <v>129</v>
      </c>
      <c r="J1" s="2" t="s">
        <v>130</v>
      </c>
      <c r="K1" s="2" t="s">
        <v>131</v>
      </c>
      <c r="L1" s="2" t="s">
        <v>144</v>
      </c>
      <c r="M1" s="2" t="s">
        <v>150</v>
      </c>
    </row>
    <row r="2" spans="1:13" x14ac:dyDescent="0.35">
      <c r="A2" t="s">
        <v>6</v>
      </c>
      <c r="B2" t="s">
        <v>106</v>
      </c>
      <c r="C2" t="s">
        <v>116</v>
      </c>
      <c r="D2" t="s">
        <v>119</v>
      </c>
      <c r="E2" s="6">
        <v>532.94000000000005</v>
      </c>
      <c r="F2" s="6">
        <v>651.42999999999995</v>
      </c>
      <c r="G2">
        <v>4</v>
      </c>
      <c r="H2" s="3" t="s">
        <v>125</v>
      </c>
      <c r="I2" s="4">
        <v>0.18</v>
      </c>
      <c r="J2">
        <v>1</v>
      </c>
      <c r="K2" t="s">
        <v>132</v>
      </c>
      <c r="L2">
        <v>2024</v>
      </c>
      <c r="M2">
        <v>4</v>
      </c>
    </row>
    <row r="3" spans="1:13" x14ac:dyDescent="0.35">
      <c r="A3" t="s">
        <v>7</v>
      </c>
      <c r="B3" t="s">
        <v>107</v>
      </c>
      <c r="C3" t="s">
        <v>117</v>
      </c>
      <c r="D3" t="s">
        <v>120</v>
      </c>
      <c r="E3" s="6">
        <v>784.68</v>
      </c>
      <c r="F3" s="6">
        <v>1172.4100000000001</v>
      </c>
      <c r="G3">
        <v>34</v>
      </c>
      <c r="H3" s="3" t="s">
        <v>126</v>
      </c>
      <c r="I3" s="4">
        <v>0.25</v>
      </c>
      <c r="J3">
        <v>2</v>
      </c>
      <c r="K3" t="s">
        <v>133</v>
      </c>
      <c r="L3">
        <v>2023</v>
      </c>
      <c r="M3">
        <v>39</v>
      </c>
    </row>
    <row r="4" spans="1:13" x14ac:dyDescent="0.35">
      <c r="A4" t="s">
        <v>8</v>
      </c>
      <c r="B4" t="s">
        <v>108</v>
      </c>
      <c r="C4" t="s">
        <v>116</v>
      </c>
      <c r="D4" t="s">
        <v>119</v>
      </c>
      <c r="E4" s="6">
        <v>964.08</v>
      </c>
      <c r="F4" s="6">
        <v>1426.05</v>
      </c>
      <c r="G4">
        <v>14</v>
      </c>
      <c r="H4" s="3" t="s">
        <v>126</v>
      </c>
      <c r="I4" s="4">
        <v>0.12</v>
      </c>
      <c r="J4">
        <v>3</v>
      </c>
      <c r="K4" t="s">
        <v>134</v>
      </c>
      <c r="L4">
        <v>2025</v>
      </c>
      <c r="M4">
        <v>16</v>
      </c>
    </row>
    <row r="5" spans="1:13" x14ac:dyDescent="0.35">
      <c r="A5" t="s">
        <v>9</v>
      </c>
      <c r="B5" t="s">
        <v>109</v>
      </c>
      <c r="C5" t="s">
        <v>118</v>
      </c>
      <c r="D5" t="s">
        <v>121</v>
      </c>
      <c r="E5" s="6">
        <v>387.68</v>
      </c>
      <c r="F5" s="6">
        <v>461.01</v>
      </c>
      <c r="G5">
        <v>10</v>
      </c>
      <c r="H5" s="3" t="s">
        <v>128</v>
      </c>
      <c r="I5" s="4">
        <v>7.0000000000000007E-2</v>
      </c>
      <c r="J5">
        <v>4</v>
      </c>
      <c r="K5" t="s">
        <v>135</v>
      </c>
      <c r="L5">
        <v>2024</v>
      </c>
      <c r="M5">
        <v>8</v>
      </c>
    </row>
    <row r="6" spans="1:13" x14ac:dyDescent="0.35">
      <c r="A6" t="s">
        <v>10</v>
      </c>
      <c r="B6" t="s">
        <v>110</v>
      </c>
      <c r="C6" t="s">
        <v>116</v>
      </c>
      <c r="D6" t="s">
        <v>121</v>
      </c>
      <c r="E6" s="6">
        <v>756.91</v>
      </c>
      <c r="F6" s="6">
        <v>1046.99</v>
      </c>
      <c r="G6">
        <v>24</v>
      </c>
      <c r="H6" s="3" t="s">
        <v>127</v>
      </c>
      <c r="I6" s="4">
        <v>0.21</v>
      </c>
      <c r="J6">
        <v>5</v>
      </c>
      <c r="K6" t="s">
        <v>136</v>
      </c>
      <c r="L6">
        <v>2023</v>
      </c>
      <c r="M6">
        <v>24</v>
      </c>
    </row>
    <row r="7" spans="1:13" x14ac:dyDescent="0.35">
      <c r="A7" t="s">
        <v>11</v>
      </c>
      <c r="B7" t="s">
        <v>111</v>
      </c>
      <c r="C7" t="s">
        <v>116</v>
      </c>
      <c r="D7" t="s">
        <v>122</v>
      </c>
      <c r="E7" s="6">
        <v>268.52</v>
      </c>
      <c r="F7" s="6">
        <v>392.2</v>
      </c>
      <c r="G7">
        <v>34</v>
      </c>
      <c r="H7" s="3" t="s">
        <v>125</v>
      </c>
      <c r="I7" s="4">
        <v>0.1</v>
      </c>
      <c r="J7">
        <v>6</v>
      </c>
      <c r="K7" t="s">
        <v>137</v>
      </c>
      <c r="L7">
        <v>2025</v>
      </c>
      <c r="M7">
        <v>32</v>
      </c>
    </row>
    <row r="8" spans="1:13" x14ac:dyDescent="0.35">
      <c r="A8" t="s">
        <v>12</v>
      </c>
      <c r="B8" t="s">
        <v>112</v>
      </c>
      <c r="C8" t="s">
        <v>117</v>
      </c>
      <c r="D8" t="s">
        <v>119</v>
      </c>
      <c r="E8" s="6">
        <v>810.54</v>
      </c>
      <c r="F8" s="6">
        <v>1176.99</v>
      </c>
      <c r="G8">
        <v>40</v>
      </c>
      <c r="H8" s="3" t="s">
        <v>128</v>
      </c>
      <c r="I8" s="4">
        <v>0.28999999999999998</v>
      </c>
      <c r="J8">
        <v>7</v>
      </c>
      <c r="K8" t="s">
        <v>138</v>
      </c>
      <c r="L8">
        <v>2024</v>
      </c>
      <c r="M8">
        <v>34</v>
      </c>
    </row>
    <row r="9" spans="1:13" x14ac:dyDescent="0.35">
      <c r="A9" t="s">
        <v>13</v>
      </c>
      <c r="B9" t="s">
        <v>107</v>
      </c>
      <c r="C9" t="s">
        <v>118</v>
      </c>
      <c r="D9" t="s">
        <v>121</v>
      </c>
      <c r="E9" s="6">
        <v>111.38</v>
      </c>
      <c r="F9" s="6">
        <v>160.35</v>
      </c>
      <c r="G9">
        <v>20</v>
      </c>
      <c r="H9" s="3" t="s">
        <v>125</v>
      </c>
      <c r="I9" s="4">
        <v>0.16</v>
      </c>
      <c r="J9">
        <v>8</v>
      </c>
      <c r="K9" t="s">
        <v>139</v>
      </c>
      <c r="L9">
        <v>2023</v>
      </c>
      <c r="M9">
        <v>16</v>
      </c>
    </row>
    <row r="10" spans="1:13" x14ac:dyDescent="0.35">
      <c r="A10" t="s">
        <v>14</v>
      </c>
      <c r="B10" t="s">
        <v>109</v>
      </c>
      <c r="C10" t="s">
        <v>116</v>
      </c>
      <c r="D10" t="s">
        <v>121</v>
      </c>
      <c r="E10" s="6">
        <v>643.63</v>
      </c>
      <c r="F10" s="6">
        <v>807.09</v>
      </c>
      <c r="G10">
        <v>24</v>
      </c>
      <c r="H10" s="3" t="s">
        <v>126</v>
      </c>
      <c r="I10" s="4">
        <v>0.23</v>
      </c>
      <c r="J10">
        <v>9</v>
      </c>
      <c r="K10" t="s">
        <v>140</v>
      </c>
      <c r="L10">
        <v>2025</v>
      </c>
      <c r="M10">
        <v>22</v>
      </c>
    </row>
    <row r="11" spans="1:13" x14ac:dyDescent="0.35">
      <c r="A11" t="s">
        <v>15</v>
      </c>
      <c r="B11" t="s">
        <v>108</v>
      </c>
      <c r="C11" t="s">
        <v>118</v>
      </c>
      <c r="D11" t="s">
        <v>121</v>
      </c>
      <c r="E11" s="6">
        <v>387.21</v>
      </c>
      <c r="F11" s="6">
        <v>440.29</v>
      </c>
      <c r="G11">
        <v>10</v>
      </c>
      <c r="H11" s="3" t="s">
        <v>126</v>
      </c>
      <c r="I11" s="4">
        <v>0.08</v>
      </c>
      <c r="J11">
        <v>10</v>
      </c>
      <c r="K11" t="s">
        <v>141</v>
      </c>
      <c r="L11">
        <v>2024</v>
      </c>
      <c r="M11">
        <v>11</v>
      </c>
    </row>
    <row r="12" spans="1:13" x14ac:dyDescent="0.35">
      <c r="A12" t="s">
        <v>16</v>
      </c>
      <c r="B12" t="s">
        <v>113</v>
      </c>
      <c r="C12" t="s">
        <v>118</v>
      </c>
      <c r="D12" t="s">
        <v>120</v>
      </c>
      <c r="E12" s="6">
        <v>272.02</v>
      </c>
      <c r="F12" s="6">
        <v>315.64999999999998</v>
      </c>
      <c r="G12">
        <v>4</v>
      </c>
      <c r="H12" s="3" t="s">
        <v>128</v>
      </c>
      <c r="I12" s="4">
        <v>0.3</v>
      </c>
      <c r="J12">
        <v>11</v>
      </c>
      <c r="K12" t="s">
        <v>142</v>
      </c>
      <c r="L12">
        <v>2023</v>
      </c>
      <c r="M12">
        <v>4</v>
      </c>
    </row>
    <row r="13" spans="1:13" x14ac:dyDescent="0.35">
      <c r="A13" t="s">
        <v>17</v>
      </c>
      <c r="B13" t="s">
        <v>106</v>
      </c>
      <c r="C13" t="s">
        <v>117</v>
      </c>
      <c r="D13" t="s">
        <v>122</v>
      </c>
      <c r="E13" s="6">
        <v>251.48</v>
      </c>
      <c r="F13" s="6">
        <v>322.93</v>
      </c>
      <c r="G13">
        <v>26</v>
      </c>
      <c r="H13" s="3" t="s">
        <v>127</v>
      </c>
      <c r="I13" s="4">
        <v>0.15</v>
      </c>
      <c r="J13">
        <v>12</v>
      </c>
      <c r="K13" t="s">
        <v>143</v>
      </c>
      <c r="L13">
        <v>2025</v>
      </c>
      <c r="M13">
        <v>28</v>
      </c>
    </row>
    <row r="14" spans="1:13" x14ac:dyDescent="0.35">
      <c r="A14" t="s">
        <v>18</v>
      </c>
      <c r="B14" t="s">
        <v>111</v>
      </c>
      <c r="C14" t="s">
        <v>118</v>
      </c>
      <c r="D14" t="s">
        <v>119</v>
      </c>
      <c r="E14" s="6">
        <v>336.11</v>
      </c>
      <c r="F14" s="6">
        <v>494.74</v>
      </c>
      <c r="G14">
        <v>45</v>
      </c>
      <c r="H14" s="3" t="s">
        <v>125</v>
      </c>
      <c r="I14" s="4">
        <v>0.12</v>
      </c>
      <c r="J14">
        <v>13</v>
      </c>
      <c r="K14" t="s">
        <v>132</v>
      </c>
      <c r="L14">
        <v>2024</v>
      </c>
      <c r="M14">
        <v>43</v>
      </c>
    </row>
    <row r="15" spans="1:13" x14ac:dyDescent="0.35">
      <c r="A15" t="s">
        <v>19</v>
      </c>
      <c r="B15" t="s">
        <v>114</v>
      </c>
      <c r="C15" t="s">
        <v>116</v>
      </c>
      <c r="D15" t="s">
        <v>120</v>
      </c>
      <c r="E15" s="6">
        <v>682.87</v>
      </c>
      <c r="F15" s="6">
        <v>804.27</v>
      </c>
      <c r="G15">
        <v>5</v>
      </c>
      <c r="H15" s="3" t="s">
        <v>128</v>
      </c>
      <c r="I15" s="4">
        <v>0.19</v>
      </c>
      <c r="J15">
        <v>14</v>
      </c>
      <c r="K15" t="s">
        <v>133</v>
      </c>
      <c r="L15">
        <v>2023</v>
      </c>
      <c r="M15">
        <v>5</v>
      </c>
    </row>
    <row r="16" spans="1:13" x14ac:dyDescent="0.35">
      <c r="A16" t="s">
        <v>20</v>
      </c>
      <c r="B16" t="s">
        <v>113</v>
      </c>
      <c r="C16" t="s">
        <v>116</v>
      </c>
      <c r="D16" t="s">
        <v>122</v>
      </c>
      <c r="E16" s="6">
        <v>269.48</v>
      </c>
      <c r="F16" s="6">
        <v>363.64</v>
      </c>
      <c r="G16">
        <v>17</v>
      </c>
      <c r="H16" s="3" t="s">
        <v>125</v>
      </c>
      <c r="I16" s="4">
        <v>0.06</v>
      </c>
      <c r="J16">
        <v>15</v>
      </c>
      <c r="K16" t="s">
        <v>134</v>
      </c>
      <c r="L16">
        <v>2025</v>
      </c>
      <c r="M16">
        <v>14</v>
      </c>
    </row>
    <row r="17" spans="1:13" x14ac:dyDescent="0.35">
      <c r="A17" t="s">
        <v>21</v>
      </c>
      <c r="B17" t="s">
        <v>115</v>
      </c>
      <c r="C17" t="s">
        <v>117</v>
      </c>
      <c r="D17" t="s">
        <v>119</v>
      </c>
      <c r="E17" s="6">
        <v>584.78</v>
      </c>
      <c r="F17" s="6">
        <v>725.14</v>
      </c>
      <c r="G17">
        <v>1</v>
      </c>
      <c r="H17" s="3" t="s">
        <v>126</v>
      </c>
      <c r="I17" s="4">
        <v>0.24</v>
      </c>
      <c r="J17">
        <v>16</v>
      </c>
      <c r="K17" t="s">
        <v>135</v>
      </c>
      <c r="L17">
        <v>2024</v>
      </c>
      <c r="M17">
        <v>1</v>
      </c>
    </row>
    <row r="18" spans="1:13" x14ac:dyDescent="0.35">
      <c r="A18" t="s">
        <v>22</v>
      </c>
      <c r="B18" t="s">
        <v>106</v>
      </c>
      <c r="C18" t="s">
        <v>116</v>
      </c>
      <c r="D18" t="s">
        <v>121</v>
      </c>
      <c r="E18" s="6">
        <v>677.61</v>
      </c>
      <c r="F18" s="6">
        <v>800.58</v>
      </c>
      <c r="G18">
        <v>45</v>
      </c>
      <c r="H18" s="3" t="s">
        <v>126</v>
      </c>
      <c r="I18" s="4">
        <v>0.27</v>
      </c>
      <c r="J18">
        <v>17</v>
      </c>
      <c r="K18" t="s">
        <v>136</v>
      </c>
      <c r="L18">
        <v>2023</v>
      </c>
      <c r="M18">
        <v>43</v>
      </c>
    </row>
    <row r="19" spans="1:13" x14ac:dyDescent="0.35">
      <c r="A19" t="s">
        <v>23</v>
      </c>
      <c r="B19" t="s">
        <v>108</v>
      </c>
      <c r="C19" t="s">
        <v>117</v>
      </c>
      <c r="D19" t="s">
        <v>119</v>
      </c>
      <c r="E19" s="6">
        <v>739.22</v>
      </c>
      <c r="F19" s="6">
        <v>1013.78</v>
      </c>
      <c r="G19">
        <v>26</v>
      </c>
      <c r="H19" s="3" t="s">
        <v>128</v>
      </c>
      <c r="I19" s="4">
        <v>0.09</v>
      </c>
      <c r="J19">
        <v>18</v>
      </c>
      <c r="K19" t="s">
        <v>137</v>
      </c>
      <c r="L19">
        <v>2025</v>
      </c>
      <c r="M19">
        <v>24</v>
      </c>
    </row>
    <row r="20" spans="1:13" x14ac:dyDescent="0.35">
      <c r="A20" t="s">
        <v>24</v>
      </c>
      <c r="B20" t="s">
        <v>107</v>
      </c>
      <c r="C20" t="s">
        <v>118</v>
      </c>
      <c r="D20" t="s">
        <v>119</v>
      </c>
      <c r="E20" s="6">
        <v>593.30999999999995</v>
      </c>
      <c r="F20" s="6">
        <v>797.58</v>
      </c>
      <c r="G20">
        <v>30</v>
      </c>
      <c r="H20" s="3" t="s">
        <v>127</v>
      </c>
      <c r="I20" s="4">
        <v>0.2</v>
      </c>
      <c r="J20">
        <v>19</v>
      </c>
      <c r="K20" t="s">
        <v>138</v>
      </c>
      <c r="L20">
        <v>2024</v>
      </c>
      <c r="M20">
        <v>25</v>
      </c>
    </row>
    <row r="21" spans="1:13" x14ac:dyDescent="0.35">
      <c r="A21" t="s">
        <v>25</v>
      </c>
      <c r="B21" t="s">
        <v>114</v>
      </c>
      <c r="C21" t="s">
        <v>117</v>
      </c>
      <c r="D21" t="s">
        <v>122</v>
      </c>
      <c r="E21" s="6">
        <v>905.37</v>
      </c>
      <c r="F21" s="6">
        <v>1242.9100000000001</v>
      </c>
      <c r="G21">
        <v>47</v>
      </c>
      <c r="H21" s="3" t="s">
        <v>125</v>
      </c>
      <c r="I21" s="4">
        <v>0.13</v>
      </c>
      <c r="J21">
        <v>20</v>
      </c>
      <c r="K21" t="s">
        <v>139</v>
      </c>
      <c r="L21">
        <v>2023</v>
      </c>
      <c r="M21">
        <v>45</v>
      </c>
    </row>
    <row r="22" spans="1:13" x14ac:dyDescent="0.35">
      <c r="A22" t="s">
        <v>26</v>
      </c>
      <c r="B22" t="s">
        <v>113</v>
      </c>
      <c r="C22" t="s">
        <v>117</v>
      </c>
      <c r="D22" t="s">
        <v>122</v>
      </c>
      <c r="E22" s="6">
        <v>685.15</v>
      </c>
      <c r="F22" s="6">
        <v>897.44</v>
      </c>
      <c r="G22">
        <v>31</v>
      </c>
      <c r="H22" s="3" t="s">
        <v>128</v>
      </c>
      <c r="I22" s="4">
        <v>0.17</v>
      </c>
      <c r="J22">
        <v>21</v>
      </c>
      <c r="K22" t="s">
        <v>140</v>
      </c>
      <c r="L22">
        <v>2025</v>
      </c>
      <c r="M22">
        <v>26</v>
      </c>
    </row>
    <row r="23" spans="1:13" x14ac:dyDescent="0.35">
      <c r="A23" t="s">
        <v>27</v>
      </c>
      <c r="B23" t="s">
        <v>114</v>
      </c>
      <c r="C23" t="s">
        <v>116</v>
      </c>
      <c r="D23" t="s">
        <v>122</v>
      </c>
      <c r="E23" s="6">
        <v>860.1</v>
      </c>
      <c r="F23" s="6">
        <v>1005.04</v>
      </c>
      <c r="G23">
        <v>27</v>
      </c>
      <c r="H23" s="3" t="s">
        <v>125</v>
      </c>
      <c r="I23" s="4">
        <v>0.28000000000000003</v>
      </c>
      <c r="J23">
        <v>22</v>
      </c>
      <c r="K23" t="s">
        <v>141</v>
      </c>
      <c r="L23">
        <v>2024</v>
      </c>
      <c r="M23">
        <v>26</v>
      </c>
    </row>
    <row r="24" spans="1:13" x14ac:dyDescent="0.35">
      <c r="A24" t="s">
        <v>28</v>
      </c>
      <c r="B24" t="s">
        <v>112</v>
      </c>
      <c r="C24" t="s">
        <v>116</v>
      </c>
      <c r="D24" t="s">
        <v>119</v>
      </c>
      <c r="E24" s="6">
        <v>385.54</v>
      </c>
      <c r="F24" s="6">
        <v>494.27</v>
      </c>
      <c r="G24">
        <v>28</v>
      </c>
      <c r="H24" s="3" t="s">
        <v>126</v>
      </c>
      <c r="I24" s="4">
        <v>0.11</v>
      </c>
      <c r="J24">
        <v>23</v>
      </c>
      <c r="K24" t="s">
        <v>142</v>
      </c>
      <c r="L24">
        <v>2023</v>
      </c>
      <c r="M24">
        <v>23</v>
      </c>
    </row>
    <row r="25" spans="1:13" x14ac:dyDescent="0.35">
      <c r="A25" t="s">
        <v>29</v>
      </c>
      <c r="B25" t="s">
        <v>110</v>
      </c>
      <c r="C25" t="s">
        <v>118</v>
      </c>
      <c r="D25" t="s">
        <v>122</v>
      </c>
      <c r="E25" s="6">
        <v>101.5</v>
      </c>
      <c r="F25" s="6">
        <v>112.13</v>
      </c>
      <c r="G25">
        <v>41</v>
      </c>
      <c r="H25" s="3" t="s">
        <v>126</v>
      </c>
      <c r="I25" s="4">
        <v>0.22</v>
      </c>
      <c r="J25">
        <v>24</v>
      </c>
      <c r="K25" t="s">
        <v>143</v>
      </c>
      <c r="L25">
        <v>2025</v>
      </c>
      <c r="M25">
        <v>47</v>
      </c>
    </row>
    <row r="26" spans="1:13" x14ac:dyDescent="0.35">
      <c r="A26" t="s">
        <v>30</v>
      </c>
      <c r="B26" t="s">
        <v>109</v>
      </c>
      <c r="C26" t="s">
        <v>116</v>
      </c>
      <c r="D26" t="s">
        <v>122</v>
      </c>
      <c r="E26" s="6">
        <v>722.41</v>
      </c>
      <c r="F26" s="6">
        <v>1018.81</v>
      </c>
      <c r="G26">
        <v>24</v>
      </c>
      <c r="H26" s="3" t="s">
        <v>128</v>
      </c>
      <c r="I26" s="4">
        <v>0.26</v>
      </c>
      <c r="J26">
        <v>25</v>
      </c>
      <c r="K26" t="s">
        <v>132</v>
      </c>
      <c r="L26">
        <v>2024</v>
      </c>
      <c r="M26">
        <v>21</v>
      </c>
    </row>
    <row r="27" spans="1:13" x14ac:dyDescent="0.35">
      <c r="A27" t="s">
        <v>31</v>
      </c>
      <c r="B27" t="s">
        <v>109</v>
      </c>
      <c r="C27" t="s">
        <v>116</v>
      </c>
      <c r="D27" t="s">
        <v>121</v>
      </c>
      <c r="E27" s="6">
        <v>720.52</v>
      </c>
      <c r="F27" s="6">
        <v>896.12</v>
      </c>
      <c r="G27">
        <v>19</v>
      </c>
      <c r="H27" s="3" t="s">
        <v>127</v>
      </c>
      <c r="I27" s="4">
        <v>0.3</v>
      </c>
      <c r="J27">
        <v>26</v>
      </c>
      <c r="K27" t="s">
        <v>133</v>
      </c>
      <c r="L27">
        <v>2023</v>
      </c>
      <c r="M27">
        <v>18</v>
      </c>
    </row>
    <row r="28" spans="1:13" x14ac:dyDescent="0.35">
      <c r="A28" t="s">
        <v>32</v>
      </c>
      <c r="B28" t="s">
        <v>108</v>
      </c>
      <c r="C28" t="s">
        <v>118</v>
      </c>
      <c r="D28" t="s">
        <v>121</v>
      </c>
      <c r="E28" s="6">
        <v>518.99</v>
      </c>
      <c r="F28" s="6">
        <v>750.9</v>
      </c>
      <c r="G28">
        <v>20</v>
      </c>
      <c r="H28" s="3" t="s">
        <v>125</v>
      </c>
      <c r="I28" s="4">
        <v>0.15</v>
      </c>
      <c r="J28">
        <v>27</v>
      </c>
      <c r="K28" t="s">
        <v>134</v>
      </c>
      <c r="L28">
        <v>2025</v>
      </c>
      <c r="M28">
        <v>19</v>
      </c>
    </row>
    <row r="29" spans="1:13" x14ac:dyDescent="0.35">
      <c r="A29" t="s">
        <v>33</v>
      </c>
      <c r="B29" t="s">
        <v>106</v>
      </c>
      <c r="C29" t="s">
        <v>118</v>
      </c>
      <c r="D29" t="s">
        <v>121</v>
      </c>
      <c r="E29" s="6">
        <v>115.07</v>
      </c>
      <c r="F29" s="6">
        <v>129.5</v>
      </c>
      <c r="G29">
        <v>39</v>
      </c>
      <c r="H29" s="3" t="s">
        <v>128</v>
      </c>
      <c r="I29" s="4">
        <v>0.18</v>
      </c>
      <c r="J29">
        <v>28</v>
      </c>
      <c r="K29" t="s">
        <v>135</v>
      </c>
      <c r="L29">
        <v>2024</v>
      </c>
      <c r="M29">
        <v>36</v>
      </c>
    </row>
    <row r="30" spans="1:13" x14ac:dyDescent="0.35">
      <c r="A30" t="s">
        <v>34</v>
      </c>
      <c r="B30" t="s">
        <v>108</v>
      </c>
      <c r="C30" t="s">
        <v>118</v>
      </c>
      <c r="D30" t="s">
        <v>122</v>
      </c>
      <c r="E30" s="6">
        <v>239.88</v>
      </c>
      <c r="F30" s="6">
        <v>291.02</v>
      </c>
      <c r="G30">
        <v>40</v>
      </c>
      <c r="H30" s="3" t="s">
        <v>125</v>
      </c>
      <c r="I30" s="4">
        <v>7.0000000000000007E-2</v>
      </c>
      <c r="J30">
        <v>29</v>
      </c>
      <c r="K30" t="s">
        <v>136</v>
      </c>
      <c r="L30">
        <v>2023</v>
      </c>
      <c r="M30">
        <v>41</v>
      </c>
    </row>
    <row r="31" spans="1:13" x14ac:dyDescent="0.35">
      <c r="A31" t="s">
        <v>35</v>
      </c>
      <c r="B31" t="s">
        <v>112</v>
      </c>
      <c r="C31" t="s">
        <v>116</v>
      </c>
      <c r="D31" t="s">
        <v>121</v>
      </c>
      <c r="E31" s="6">
        <v>166.23</v>
      </c>
      <c r="F31" s="6">
        <v>205.45</v>
      </c>
      <c r="G31">
        <v>50</v>
      </c>
      <c r="H31" s="3" t="s">
        <v>126</v>
      </c>
      <c r="I31" s="4">
        <v>0.25</v>
      </c>
      <c r="J31">
        <v>30</v>
      </c>
      <c r="K31" t="s">
        <v>137</v>
      </c>
      <c r="L31">
        <v>2025</v>
      </c>
      <c r="M31">
        <v>59</v>
      </c>
    </row>
    <row r="32" spans="1:13" x14ac:dyDescent="0.35">
      <c r="A32" t="s">
        <v>36</v>
      </c>
      <c r="B32" t="s">
        <v>110</v>
      </c>
      <c r="C32" t="s">
        <v>117</v>
      </c>
      <c r="D32" t="s">
        <v>119</v>
      </c>
      <c r="E32" s="6">
        <v>727.56</v>
      </c>
      <c r="F32" s="6">
        <v>965.42</v>
      </c>
      <c r="G32">
        <v>40</v>
      </c>
      <c r="H32" s="3" t="s">
        <v>126</v>
      </c>
      <c r="I32" s="4">
        <v>0.19</v>
      </c>
      <c r="J32">
        <v>31</v>
      </c>
      <c r="K32" t="s">
        <v>138</v>
      </c>
      <c r="L32">
        <v>2024</v>
      </c>
      <c r="M32">
        <v>36</v>
      </c>
    </row>
    <row r="33" spans="1:13" x14ac:dyDescent="0.35">
      <c r="A33" t="s">
        <v>37</v>
      </c>
      <c r="B33" t="s">
        <v>108</v>
      </c>
      <c r="C33" t="s">
        <v>118</v>
      </c>
      <c r="D33" t="s">
        <v>119</v>
      </c>
      <c r="E33" s="6">
        <v>504.85</v>
      </c>
      <c r="F33" s="6">
        <v>660.43</v>
      </c>
      <c r="G33">
        <v>20</v>
      </c>
      <c r="H33" s="3" t="s">
        <v>128</v>
      </c>
      <c r="I33" s="4">
        <v>0.23</v>
      </c>
      <c r="J33">
        <v>32</v>
      </c>
      <c r="K33" t="s">
        <v>139</v>
      </c>
      <c r="L33">
        <v>2023</v>
      </c>
      <c r="M33">
        <v>20</v>
      </c>
    </row>
    <row r="34" spans="1:13" x14ac:dyDescent="0.35">
      <c r="A34" t="s">
        <v>38</v>
      </c>
      <c r="B34" t="s">
        <v>107</v>
      </c>
      <c r="C34" t="s">
        <v>118</v>
      </c>
      <c r="D34" t="s">
        <v>119</v>
      </c>
      <c r="E34" s="6">
        <v>236.45</v>
      </c>
      <c r="F34" s="6">
        <v>277.83</v>
      </c>
      <c r="G34">
        <v>18</v>
      </c>
      <c r="H34" s="3" t="s">
        <v>127</v>
      </c>
      <c r="I34" s="4">
        <v>0.1</v>
      </c>
      <c r="J34">
        <v>33</v>
      </c>
      <c r="K34" t="s">
        <v>140</v>
      </c>
      <c r="L34">
        <v>2025</v>
      </c>
      <c r="M34">
        <v>20</v>
      </c>
    </row>
    <row r="35" spans="1:13" x14ac:dyDescent="0.35">
      <c r="A35" t="s">
        <v>39</v>
      </c>
      <c r="B35" t="s">
        <v>109</v>
      </c>
      <c r="C35" t="s">
        <v>117</v>
      </c>
      <c r="D35" t="s">
        <v>120</v>
      </c>
      <c r="E35" s="6">
        <v>407.01</v>
      </c>
      <c r="F35" s="6">
        <v>570.79</v>
      </c>
      <c r="G35">
        <v>5</v>
      </c>
      <c r="H35" s="3" t="s">
        <v>125</v>
      </c>
      <c r="I35" s="4">
        <v>0.14000000000000001</v>
      </c>
      <c r="J35">
        <v>34</v>
      </c>
      <c r="K35" t="s">
        <v>141</v>
      </c>
      <c r="L35">
        <v>2024</v>
      </c>
      <c r="M35">
        <v>6</v>
      </c>
    </row>
    <row r="36" spans="1:13" x14ac:dyDescent="0.35">
      <c r="A36" t="s">
        <v>40</v>
      </c>
      <c r="B36" t="s">
        <v>111</v>
      </c>
      <c r="C36" t="s">
        <v>118</v>
      </c>
      <c r="D36" t="s">
        <v>122</v>
      </c>
      <c r="E36" s="6">
        <v>560.26</v>
      </c>
      <c r="F36" s="6">
        <v>796.46</v>
      </c>
      <c r="G36">
        <v>23</v>
      </c>
      <c r="H36" s="3" t="s">
        <v>128</v>
      </c>
      <c r="I36" s="4">
        <v>0.08</v>
      </c>
      <c r="J36">
        <v>35</v>
      </c>
      <c r="K36" t="s">
        <v>142</v>
      </c>
      <c r="L36">
        <v>2023</v>
      </c>
      <c r="M36">
        <v>25</v>
      </c>
    </row>
    <row r="37" spans="1:13" x14ac:dyDescent="0.35">
      <c r="A37" t="s">
        <v>41</v>
      </c>
      <c r="B37" t="s">
        <v>108</v>
      </c>
      <c r="C37" t="s">
        <v>116</v>
      </c>
      <c r="D37" t="s">
        <v>121</v>
      </c>
      <c r="E37" s="6">
        <v>230.83</v>
      </c>
      <c r="F37" s="6">
        <v>308.33999999999997</v>
      </c>
      <c r="G37">
        <v>40</v>
      </c>
      <c r="H37" s="3" t="s">
        <v>125</v>
      </c>
      <c r="I37" s="4">
        <v>0.28999999999999998</v>
      </c>
      <c r="J37">
        <v>36</v>
      </c>
      <c r="K37" t="s">
        <v>143</v>
      </c>
      <c r="L37">
        <v>2025</v>
      </c>
      <c r="M37">
        <v>47</v>
      </c>
    </row>
    <row r="38" spans="1:13" x14ac:dyDescent="0.35">
      <c r="A38" t="s">
        <v>42</v>
      </c>
      <c r="B38" t="s">
        <v>109</v>
      </c>
      <c r="C38" t="s">
        <v>117</v>
      </c>
      <c r="D38" t="s">
        <v>122</v>
      </c>
      <c r="E38" s="6">
        <v>727.71</v>
      </c>
      <c r="F38" s="6">
        <v>1020.72</v>
      </c>
      <c r="G38">
        <v>20</v>
      </c>
      <c r="H38" s="3" t="s">
        <v>126</v>
      </c>
      <c r="I38" s="4">
        <v>0.16</v>
      </c>
      <c r="J38">
        <v>37</v>
      </c>
      <c r="K38" t="s">
        <v>132</v>
      </c>
      <c r="L38">
        <v>2024</v>
      </c>
      <c r="M38">
        <v>17</v>
      </c>
    </row>
    <row r="39" spans="1:13" x14ac:dyDescent="0.35">
      <c r="A39" t="s">
        <v>43</v>
      </c>
      <c r="B39" t="s">
        <v>106</v>
      </c>
      <c r="C39" t="s">
        <v>117</v>
      </c>
      <c r="D39" t="s">
        <v>119</v>
      </c>
      <c r="E39" s="6">
        <v>433.69</v>
      </c>
      <c r="F39" s="6">
        <v>609.34</v>
      </c>
      <c r="G39">
        <v>40</v>
      </c>
      <c r="H39" s="3" t="s">
        <v>126</v>
      </c>
      <c r="I39" s="4">
        <v>0.12</v>
      </c>
      <c r="J39">
        <v>38</v>
      </c>
      <c r="K39" t="s">
        <v>133</v>
      </c>
      <c r="L39">
        <v>2023</v>
      </c>
      <c r="M39">
        <v>47</v>
      </c>
    </row>
    <row r="40" spans="1:13" x14ac:dyDescent="0.35">
      <c r="A40" t="s">
        <v>44</v>
      </c>
      <c r="B40" t="s">
        <v>110</v>
      </c>
      <c r="C40" t="s">
        <v>118</v>
      </c>
      <c r="D40" t="s">
        <v>119</v>
      </c>
      <c r="E40" s="6">
        <v>164.1</v>
      </c>
      <c r="F40" s="6">
        <v>232.65</v>
      </c>
      <c r="G40">
        <v>40</v>
      </c>
      <c r="H40" s="3" t="s">
        <v>128</v>
      </c>
      <c r="I40" s="4">
        <v>0.21</v>
      </c>
      <c r="J40">
        <v>39</v>
      </c>
      <c r="K40" t="s">
        <v>134</v>
      </c>
      <c r="L40">
        <v>2025</v>
      </c>
      <c r="M40">
        <v>40</v>
      </c>
    </row>
    <row r="41" spans="1:13" x14ac:dyDescent="0.35">
      <c r="A41" t="s">
        <v>45</v>
      </c>
      <c r="B41" t="s">
        <v>106</v>
      </c>
      <c r="C41" t="s">
        <v>117</v>
      </c>
      <c r="D41" t="s">
        <v>119</v>
      </c>
      <c r="E41" s="6">
        <v>173.75</v>
      </c>
      <c r="F41" s="6">
        <v>253.94</v>
      </c>
      <c r="G41">
        <v>48</v>
      </c>
      <c r="H41" s="3" t="s">
        <v>127</v>
      </c>
      <c r="I41" s="4">
        <v>0.27</v>
      </c>
      <c r="J41">
        <v>40</v>
      </c>
      <c r="K41" t="s">
        <v>135</v>
      </c>
      <c r="L41">
        <v>2024</v>
      </c>
      <c r="M41">
        <v>43</v>
      </c>
    </row>
    <row r="42" spans="1:13" x14ac:dyDescent="0.35">
      <c r="A42" t="s">
        <v>46</v>
      </c>
      <c r="B42" t="s">
        <v>114</v>
      </c>
      <c r="C42" t="s">
        <v>118</v>
      </c>
      <c r="D42" t="s">
        <v>119</v>
      </c>
      <c r="E42" s="6">
        <v>841.92</v>
      </c>
      <c r="F42" s="6">
        <v>946.75</v>
      </c>
      <c r="G42">
        <v>13</v>
      </c>
      <c r="H42" s="3" t="s">
        <v>125</v>
      </c>
      <c r="I42" s="4">
        <v>0.3</v>
      </c>
      <c r="J42">
        <v>41</v>
      </c>
      <c r="K42" t="s">
        <v>136</v>
      </c>
      <c r="L42">
        <v>2023</v>
      </c>
      <c r="M42">
        <v>13</v>
      </c>
    </row>
    <row r="43" spans="1:13" x14ac:dyDescent="0.35">
      <c r="A43" t="s">
        <v>47</v>
      </c>
      <c r="B43" t="s">
        <v>110</v>
      </c>
      <c r="C43" t="s">
        <v>118</v>
      </c>
      <c r="D43" t="s">
        <v>119</v>
      </c>
      <c r="E43" s="6">
        <v>392.5</v>
      </c>
      <c r="F43" s="6">
        <v>442.54</v>
      </c>
      <c r="G43">
        <v>3</v>
      </c>
      <c r="H43" s="3" t="s">
        <v>128</v>
      </c>
      <c r="I43" s="4">
        <v>0.13</v>
      </c>
      <c r="J43">
        <v>42</v>
      </c>
      <c r="K43" t="s">
        <v>137</v>
      </c>
      <c r="L43">
        <v>2025</v>
      </c>
      <c r="M43">
        <v>2</v>
      </c>
    </row>
    <row r="44" spans="1:13" x14ac:dyDescent="0.35">
      <c r="A44" t="s">
        <v>48</v>
      </c>
      <c r="B44" t="s">
        <v>107</v>
      </c>
      <c r="C44" t="s">
        <v>116</v>
      </c>
      <c r="D44" t="s">
        <v>122</v>
      </c>
      <c r="E44" s="6">
        <v>115.67</v>
      </c>
      <c r="F44" s="6">
        <v>128.15</v>
      </c>
      <c r="G44">
        <v>2</v>
      </c>
      <c r="H44" s="3" t="s">
        <v>125</v>
      </c>
      <c r="I44" s="4">
        <v>0.09</v>
      </c>
      <c r="J44">
        <v>43</v>
      </c>
      <c r="K44" t="s">
        <v>138</v>
      </c>
      <c r="L44">
        <v>2024</v>
      </c>
      <c r="M44">
        <v>2</v>
      </c>
    </row>
    <row r="45" spans="1:13" x14ac:dyDescent="0.35">
      <c r="A45" t="s">
        <v>49</v>
      </c>
      <c r="B45" t="s">
        <v>114</v>
      </c>
      <c r="C45" t="s">
        <v>118</v>
      </c>
      <c r="D45" t="s">
        <v>120</v>
      </c>
      <c r="E45" s="6">
        <v>450.82</v>
      </c>
      <c r="F45" s="6">
        <v>641.75</v>
      </c>
      <c r="G45">
        <v>40</v>
      </c>
      <c r="H45" s="3" t="s">
        <v>126</v>
      </c>
      <c r="I45" s="4">
        <v>0.24</v>
      </c>
      <c r="J45">
        <v>44</v>
      </c>
      <c r="K45" t="s">
        <v>139</v>
      </c>
      <c r="L45">
        <v>2023</v>
      </c>
      <c r="M45">
        <v>35</v>
      </c>
    </row>
    <row r="46" spans="1:13" x14ac:dyDescent="0.35">
      <c r="A46" t="s">
        <v>50</v>
      </c>
      <c r="B46" t="s">
        <v>112</v>
      </c>
      <c r="C46" t="s">
        <v>117</v>
      </c>
      <c r="D46" t="s">
        <v>122</v>
      </c>
      <c r="E46" s="6">
        <v>206.69</v>
      </c>
      <c r="F46" s="6">
        <v>245.46</v>
      </c>
      <c r="G46">
        <v>44</v>
      </c>
      <c r="H46" s="3" t="s">
        <v>126</v>
      </c>
      <c r="I46" s="4">
        <v>0.15</v>
      </c>
      <c r="J46">
        <v>45</v>
      </c>
      <c r="K46" t="s">
        <v>140</v>
      </c>
      <c r="L46">
        <v>2025</v>
      </c>
      <c r="M46">
        <v>46</v>
      </c>
    </row>
    <row r="47" spans="1:13" x14ac:dyDescent="0.35">
      <c r="A47" t="s">
        <v>51</v>
      </c>
      <c r="B47" t="s">
        <v>114</v>
      </c>
      <c r="C47" t="s">
        <v>116</v>
      </c>
      <c r="D47" t="s">
        <v>119</v>
      </c>
      <c r="E47" s="6">
        <v>411.41</v>
      </c>
      <c r="F47" s="6">
        <v>490.86</v>
      </c>
      <c r="G47">
        <v>6</v>
      </c>
      <c r="H47" s="3" t="s">
        <v>128</v>
      </c>
      <c r="I47" s="4">
        <v>0.28000000000000003</v>
      </c>
      <c r="J47">
        <v>46</v>
      </c>
      <c r="K47" t="s">
        <v>141</v>
      </c>
      <c r="L47">
        <v>2024</v>
      </c>
      <c r="M47">
        <v>7</v>
      </c>
    </row>
    <row r="48" spans="1:13" x14ac:dyDescent="0.35">
      <c r="A48" t="s">
        <v>52</v>
      </c>
      <c r="B48" t="s">
        <v>107</v>
      </c>
      <c r="C48" t="s">
        <v>118</v>
      </c>
      <c r="D48" t="s">
        <v>121</v>
      </c>
      <c r="E48" s="6">
        <v>577.64</v>
      </c>
      <c r="F48" s="6">
        <v>650.11</v>
      </c>
      <c r="G48">
        <v>17</v>
      </c>
      <c r="H48" s="3" t="s">
        <v>127</v>
      </c>
      <c r="I48" s="4">
        <v>0.19</v>
      </c>
      <c r="J48">
        <v>47</v>
      </c>
      <c r="K48" t="s">
        <v>142</v>
      </c>
      <c r="L48">
        <v>2023</v>
      </c>
      <c r="M48">
        <v>15</v>
      </c>
    </row>
    <row r="49" spans="1:13" x14ac:dyDescent="0.35">
      <c r="A49" t="s">
        <v>53</v>
      </c>
      <c r="B49" t="s">
        <v>115</v>
      </c>
      <c r="C49" t="s">
        <v>118</v>
      </c>
      <c r="D49" t="s">
        <v>122</v>
      </c>
      <c r="E49" s="6">
        <v>671.88</v>
      </c>
      <c r="F49" s="6">
        <v>857</v>
      </c>
      <c r="G49">
        <v>27</v>
      </c>
      <c r="H49" s="3" t="s">
        <v>125</v>
      </c>
      <c r="I49" s="4">
        <v>0.22</v>
      </c>
      <c r="J49">
        <v>48</v>
      </c>
      <c r="K49" t="s">
        <v>143</v>
      </c>
      <c r="L49">
        <v>2025</v>
      </c>
      <c r="M49">
        <v>27</v>
      </c>
    </row>
    <row r="50" spans="1:13" x14ac:dyDescent="0.35">
      <c r="A50" t="s">
        <v>54</v>
      </c>
      <c r="B50" t="s">
        <v>110</v>
      </c>
      <c r="C50" t="s">
        <v>118</v>
      </c>
      <c r="D50" t="s">
        <v>121</v>
      </c>
      <c r="E50" s="6">
        <v>188.18</v>
      </c>
      <c r="F50" s="6">
        <v>254.28</v>
      </c>
      <c r="G50">
        <v>15</v>
      </c>
      <c r="H50" s="3" t="s">
        <v>128</v>
      </c>
      <c r="I50" s="4">
        <v>0.06</v>
      </c>
      <c r="J50">
        <v>49</v>
      </c>
      <c r="K50" t="s">
        <v>132</v>
      </c>
      <c r="L50">
        <v>2024</v>
      </c>
      <c r="M50">
        <v>16</v>
      </c>
    </row>
    <row r="51" spans="1:13" x14ac:dyDescent="0.35">
      <c r="A51" t="s">
        <v>55</v>
      </c>
      <c r="B51" t="s">
        <v>113</v>
      </c>
      <c r="C51" t="s">
        <v>116</v>
      </c>
      <c r="D51" t="s">
        <v>120</v>
      </c>
      <c r="E51" s="6">
        <v>412.59</v>
      </c>
      <c r="F51" s="6">
        <v>609.51</v>
      </c>
      <c r="G51">
        <v>40</v>
      </c>
      <c r="H51" s="3" t="s">
        <v>125</v>
      </c>
      <c r="I51" s="4">
        <v>0.2</v>
      </c>
      <c r="J51">
        <v>50</v>
      </c>
      <c r="K51" t="s">
        <v>133</v>
      </c>
      <c r="L51">
        <v>2023</v>
      </c>
      <c r="M51">
        <v>37</v>
      </c>
    </row>
    <row r="52" spans="1:13" x14ac:dyDescent="0.35">
      <c r="A52" t="s">
        <v>56</v>
      </c>
      <c r="B52" t="s">
        <v>109</v>
      </c>
      <c r="C52" t="s">
        <v>116</v>
      </c>
      <c r="D52" t="s">
        <v>120</v>
      </c>
      <c r="E52" s="6">
        <v>303.97000000000003</v>
      </c>
      <c r="F52" s="6">
        <v>421.89</v>
      </c>
      <c r="G52">
        <v>1</v>
      </c>
      <c r="H52" s="3" t="s">
        <v>126</v>
      </c>
      <c r="I52" s="4">
        <v>0.12</v>
      </c>
      <c r="J52">
        <v>51</v>
      </c>
      <c r="K52" t="s">
        <v>134</v>
      </c>
      <c r="L52">
        <v>2025</v>
      </c>
      <c r="M52">
        <v>1</v>
      </c>
    </row>
    <row r="53" spans="1:13" x14ac:dyDescent="0.35">
      <c r="A53" t="s">
        <v>57</v>
      </c>
      <c r="B53" t="s">
        <v>115</v>
      </c>
      <c r="C53" t="s">
        <v>116</v>
      </c>
      <c r="D53" t="s">
        <v>120</v>
      </c>
      <c r="E53" s="6">
        <v>976.19</v>
      </c>
      <c r="F53" s="6">
        <v>1265.92</v>
      </c>
      <c r="G53">
        <v>28</v>
      </c>
      <c r="H53" s="3" t="s">
        <v>126</v>
      </c>
      <c r="I53" s="4">
        <v>0.11</v>
      </c>
      <c r="J53">
        <v>52</v>
      </c>
      <c r="K53" t="s">
        <v>135</v>
      </c>
      <c r="L53">
        <v>2024</v>
      </c>
      <c r="M53">
        <v>27</v>
      </c>
    </row>
    <row r="54" spans="1:13" x14ac:dyDescent="0.35">
      <c r="A54" t="s">
        <v>58</v>
      </c>
      <c r="B54" t="s">
        <v>109</v>
      </c>
      <c r="C54" t="s">
        <v>117</v>
      </c>
      <c r="D54" t="s">
        <v>120</v>
      </c>
      <c r="E54" s="6">
        <v>942.54</v>
      </c>
      <c r="F54" s="6">
        <v>1112.73</v>
      </c>
      <c r="G54">
        <v>44</v>
      </c>
      <c r="H54" s="3" t="s">
        <v>128</v>
      </c>
      <c r="I54" s="4">
        <v>0.25</v>
      </c>
      <c r="J54">
        <v>53</v>
      </c>
      <c r="K54" t="s">
        <v>136</v>
      </c>
      <c r="L54">
        <v>2023</v>
      </c>
      <c r="M54">
        <v>41</v>
      </c>
    </row>
    <row r="55" spans="1:13" x14ac:dyDescent="0.35">
      <c r="A55" t="s">
        <v>59</v>
      </c>
      <c r="B55" t="s">
        <v>108</v>
      </c>
      <c r="C55" t="s">
        <v>118</v>
      </c>
      <c r="D55" t="s">
        <v>122</v>
      </c>
      <c r="E55" s="6">
        <v>918.51</v>
      </c>
      <c r="F55" s="6">
        <v>1166.3599999999999</v>
      </c>
      <c r="G55">
        <v>50</v>
      </c>
      <c r="H55" s="3" t="s">
        <v>127</v>
      </c>
      <c r="I55" s="4">
        <v>0.17</v>
      </c>
      <c r="J55">
        <v>54</v>
      </c>
      <c r="K55" t="s">
        <v>137</v>
      </c>
      <c r="L55">
        <v>2025</v>
      </c>
      <c r="M55">
        <v>46</v>
      </c>
    </row>
    <row r="56" spans="1:13" x14ac:dyDescent="0.35">
      <c r="A56" t="s">
        <v>60</v>
      </c>
      <c r="B56" t="s">
        <v>107</v>
      </c>
      <c r="C56" t="s">
        <v>118</v>
      </c>
      <c r="D56" t="s">
        <v>119</v>
      </c>
      <c r="E56" s="6">
        <v>561.91999999999996</v>
      </c>
      <c r="F56" s="6">
        <v>774.4</v>
      </c>
      <c r="G56">
        <v>22</v>
      </c>
      <c r="H56" s="3" t="s">
        <v>125</v>
      </c>
      <c r="I56" s="4">
        <v>0.14000000000000001</v>
      </c>
      <c r="J56">
        <v>55</v>
      </c>
      <c r="K56" t="s">
        <v>138</v>
      </c>
      <c r="L56">
        <v>2024</v>
      </c>
      <c r="M56">
        <v>26</v>
      </c>
    </row>
    <row r="57" spans="1:13" x14ac:dyDescent="0.35">
      <c r="A57" t="s">
        <v>61</v>
      </c>
      <c r="B57" t="s">
        <v>108</v>
      </c>
      <c r="C57" t="s">
        <v>118</v>
      </c>
      <c r="D57" t="s">
        <v>119</v>
      </c>
      <c r="E57" s="6">
        <v>809.74</v>
      </c>
      <c r="F57" s="6">
        <v>993.47</v>
      </c>
      <c r="G57">
        <v>34</v>
      </c>
      <c r="H57" s="3" t="s">
        <v>128</v>
      </c>
      <c r="I57" s="4">
        <v>0.3</v>
      </c>
      <c r="J57">
        <v>56</v>
      </c>
      <c r="K57" t="s">
        <v>139</v>
      </c>
      <c r="L57">
        <v>2023</v>
      </c>
      <c r="M57">
        <v>34</v>
      </c>
    </row>
    <row r="58" spans="1:13" x14ac:dyDescent="0.35">
      <c r="A58" t="s">
        <v>62</v>
      </c>
      <c r="B58" t="s">
        <v>112</v>
      </c>
      <c r="C58" t="s">
        <v>116</v>
      </c>
      <c r="D58" t="s">
        <v>120</v>
      </c>
      <c r="E58" s="6">
        <v>448.93</v>
      </c>
      <c r="F58" s="6">
        <v>638.32000000000005</v>
      </c>
      <c r="G58">
        <v>11</v>
      </c>
      <c r="H58" s="3" t="s">
        <v>125</v>
      </c>
      <c r="I58" s="4">
        <v>0.1</v>
      </c>
      <c r="J58">
        <v>57</v>
      </c>
      <c r="K58" t="s">
        <v>140</v>
      </c>
      <c r="L58">
        <v>2025</v>
      </c>
      <c r="M58">
        <v>13</v>
      </c>
    </row>
    <row r="59" spans="1:13" x14ac:dyDescent="0.35">
      <c r="A59" t="s">
        <v>63</v>
      </c>
      <c r="B59" t="s">
        <v>107</v>
      </c>
      <c r="C59" t="s">
        <v>117</v>
      </c>
      <c r="D59" t="s">
        <v>121</v>
      </c>
      <c r="E59" s="6">
        <v>840.09</v>
      </c>
      <c r="F59" s="6">
        <v>1032.06</v>
      </c>
      <c r="G59">
        <v>50</v>
      </c>
      <c r="H59" s="3" t="s">
        <v>126</v>
      </c>
      <c r="I59" s="4">
        <v>0.28999999999999998</v>
      </c>
      <c r="J59">
        <v>58</v>
      </c>
      <c r="K59" t="s">
        <v>141</v>
      </c>
      <c r="L59">
        <v>2024</v>
      </c>
      <c r="M59">
        <v>58</v>
      </c>
    </row>
    <row r="60" spans="1:13" x14ac:dyDescent="0.35">
      <c r="A60" t="s">
        <v>64</v>
      </c>
      <c r="B60" t="s">
        <v>107</v>
      </c>
      <c r="C60" t="s">
        <v>116</v>
      </c>
      <c r="D60" t="s">
        <v>121</v>
      </c>
      <c r="E60" s="6">
        <v>820.79</v>
      </c>
      <c r="F60" s="6">
        <v>1203.6300000000001</v>
      </c>
      <c r="G60">
        <v>6</v>
      </c>
      <c r="H60" s="3" t="s">
        <v>126</v>
      </c>
      <c r="I60" s="4">
        <v>0.23</v>
      </c>
      <c r="J60">
        <v>59</v>
      </c>
      <c r="K60" t="s">
        <v>142</v>
      </c>
      <c r="L60">
        <v>2023</v>
      </c>
      <c r="M60">
        <v>6</v>
      </c>
    </row>
    <row r="61" spans="1:13" x14ac:dyDescent="0.35">
      <c r="A61" t="s">
        <v>65</v>
      </c>
      <c r="B61" t="s">
        <v>114</v>
      </c>
      <c r="C61" t="s">
        <v>117</v>
      </c>
      <c r="D61" t="s">
        <v>120</v>
      </c>
      <c r="E61" s="6">
        <v>743.91</v>
      </c>
      <c r="F61" s="6">
        <v>1030.6300000000001</v>
      </c>
      <c r="G61">
        <v>39</v>
      </c>
      <c r="H61" s="3" t="s">
        <v>128</v>
      </c>
      <c r="I61" s="4">
        <v>0.15</v>
      </c>
      <c r="J61">
        <v>60</v>
      </c>
      <c r="K61" t="s">
        <v>143</v>
      </c>
      <c r="L61">
        <v>2025</v>
      </c>
      <c r="M61">
        <v>38</v>
      </c>
    </row>
    <row r="62" spans="1:13" x14ac:dyDescent="0.35">
      <c r="A62" t="s">
        <v>66</v>
      </c>
      <c r="B62" t="s">
        <v>107</v>
      </c>
      <c r="C62" t="s">
        <v>117</v>
      </c>
      <c r="D62" t="s">
        <v>119</v>
      </c>
      <c r="E62" s="6">
        <v>845.63</v>
      </c>
      <c r="F62" s="6">
        <v>1137.55</v>
      </c>
      <c r="G62">
        <v>35</v>
      </c>
      <c r="H62" s="3" t="s">
        <v>127</v>
      </c>
      <c r="I62" s="4">
        <v>0.18</v>
      </c>
      <c r="J62">
        <v>61</v>
      </c>
      <c r="K62" t="s">
        <v>132</v>
      </c>
      <c r="L62">
        <v>2024</v>
      </c>
      <c r="M62">
        <v>39</v>
      </c>
    </row>
    <row r="63" spans="1:13" x14ac:dyDescent="0.35">
      <c r="A63" t="s">
        <v>67</v>
      </c>
      <c r="B63" t="s">
        <v>110</v>
      </c>
      <c r="C63" t="s">
        <v>118</v>
      </c>
      <c r="D63" t="s">
        <v>119</v>
      </c>
      <c r="E63" s="6">
        <v>725.55</v>
      </c>
      <c r="F63" s="6">
        <v>1074.6500000000001</v>
      </c>
      <c r="G63">
        <v>40</v>
      </c>
      <c r="H63" s="3" t="s">
        <v>125</v>
      </c>
      <c r="I63" s="4">
        <v>0.27</v>
      </c>
      <c r="J63">
        <v>62</v>
      </c>
      <c r="K63" t="s">
        <v>133</v>
      </c>
      <c r="L63">
        <v>2023</v>
      </c>
      <c r="M63">
        <v>42</v>
      </c>
    </row>
    <row r="64" spans="1:13" x14ac:dyDescent="0.35">
      <c r="A64" t="s">
        <v>68</v>
      </c>
      <c r="B64" t="s">
        <v>110</v>
      </c>
      <c r="C64" t="s">
        <v>116</v>
      </c>
      <c r="D64" t="s">
        <v>119</v>
      </c>
      <c r="E64" s="6">
        <v>722.21</v>
      </c>
      <c r="F64" s="6">
        <v>906.22</v>
      </c>
      <c r="G64">
        <v>19</v>
      </c>
      <c r="H64" s="3" t="s">
        <v>128</v>
      </c>
      <c r="I64" s="4">
        <v>0.09</v>
      </c>
      <c r="J64">
        <v>63</v>
      </c>
      <c r="K64" t="s">
        <v>134</v>
      </c>
      <c r="L64">
        <v>2025</v>
      </c>
      <c r="M64">
        <v>17</v>
      </c>
    </row>
    <row r="65" spans="1:13" x14ac:dyDescent="0.35">
      <c r="A65" t="s">
        <v>69</v>
      </c>
      <c r="B65" t="s">
        <v>115</v>
      </c>
      <c r="C65" t="s">
        <v>116</v>
      </c>
      <c r="D65" t="s">
        <v>122</v>
      </c>
      <c r="E65" s="6">
        <v>208.23</v>
      </c>
      <c r="F65" s="6">
        <v>283.72000000000003</v>
      </c>
      <c r="G65">
        <v>22</v>
      </c>
      <c r="H65" s="3" t="s">
        <v>125</v>
      </c>
      <c r="I65" s="4">
        <v>0.21</v>
      </c>
      <c r="J65">
        <v>64</v>
      </c>
      <c r="K65" t="s">
        <v>135</v>
      </c>
      <c r="L65">
        <v>2024</v>
      </c>
      <c r="M65">
        <v>22</v>
      </c>
    </row>
    <row r="66" spans="1:13" x14ac:dyDescent="0.35">
      <c r="A66" t="s">
        <v>70</v>
      </c>
      <c r="B66" t="s">
        <v>114</v>
      </c>
      <c r="C66" t="s">
        <v>116</v>
      </c>
      <c r="D66" t="s">
        <v>119</v>
      </c>
      <c r="E66" s="6">
        <v>971.52</v>
      </c>
      <c r="F66" s="6">
        <v>1430.95</v>
      </c>
      <c r="G66">
        <v>8</v>
      </c>
      <c r="H66" s="3" t="s">
        <v>126</v>
      </c>
      <c r="I66" s="4">
        <v>0.16</v>
      </c>
      <c r="J66">
        <v>65</v>
      </c>
      <c r="K66" t="s">
        <v>136</v>
      </c>
      <c r="L66">
        <v>2023</v>
      </c>
      <c r="M66">
        <v>8</v>
      </c>
    </row>
    <row r="67" spans="1:13" x14ac:dyDescent="0.35">
      <c r="A67" t="s">
        <v>71</v>
      </c>
      <c r="B67" t="s">
        <v>111</v>
      </c>
      <c r="C67" t="s">
        <v>118</v>
      </c>
      <c r="D67" t="s">
        <v>121</v>
      </c>
      <c r="E67" s="6">
        <v>340.79</v>
      </c>
      <c r="F67" s="6">
        <v>485.82</v>
      </c>
      <c r="G67">
        <v>27</v>
      </c>
      <c r="H67" s="3" t="s">
        <v>126</v>
      </c>
      <c r="I67" s="4">
        <v>0.19</v>
      </c>
      <c r="J67">
        <v>66</v>
      </c>
      <c r="K67" t="s">
        <v>137</v>
      </c>
      <c r="L67">
        <v>2025</v>
      </c>
      <c r="M67">
        <v>27</v>
      </c>
    </row>
    <row r="68" spans="1:13" x14ac:dyDescent="0.35">
      <c r="A68" t="s">
        <v>72</v>
      </c>
      <c r="B68" t="s">
        <v>110</v>
      </c>
      <c r="C68" t="s">
        <v>116</v>
      </c>
      <c r="D68" t="s">
        <v>122</v>
      </c>
      <c r="E68" s="6">
        <v>409.19</v>
      </c>
      <c r="F68" s="6">
        <v>606.34</v>
      </c>
      <c r="G68">
        <v>7</v>
      </c>
      <c r="H68" s="3" t="s">
        <v>128</v>
      </c>
      <c r="I68" s="4">
        <v>7.0000000000000007E-2</v>
      </c>
      <c r="J68">
        <v>67</v>
      </c>
      <c r="K68" t="s">
        <v>138</v>
      </c>
      <c r="L68">
        <v>2024</v>
      </c>
      <c r="M68">
        <v>6</v>
      </c>
    </row>
    <row r="69" spans="1:13" x14ac:dyDescent="0.35">
      <c r="A69" t="s">
        <v>73</v>
      </c>
      <c r="B69" t="s">
        <v>111</v>
      </c>
      <c r="C69" t="s">
        <v>117</v>
      </c>
      <c r="D69" t="s">
        <v>122</v>
      </c>
      <c r="E69" s="6">
        <v>297.04000000000002</v>
      </c>
      <c r="F69" s="6">
        <v>402.86</v>
      </c>
      <c r="G69">
        <v>10</v>
      </c>
      <c r="H69" s="3" t="s">
        <v>127</v>
      </c>
      <c r="I69" s="4">
        <v>0.28000000000000003</v>
      </c>
      <c r="J69">
        <v>68</v>
      </c>
      <c r="K69" t="s">
        <v>139</v>
      </c>
      <c r="L69">
        <v>2023</v>
      </c>
      <c r="M69">
        <v>10</v>
      </c>
    </row>
    <row r="70" spans="1:13" x14ac:dyDescent="0.35">
      <c r="A70" t="s">
        <v>74</v>
      </c>
      <c r="B70" t="s">
        <v>110</v>
      </c>
      <c r="C70" t="s">
        <v>118</v>
      </c>
      <c r="D70" t="s">
        <v>119</v>
      </c>
      <c r="E70" s="6">
        <v>410.38</v>
      </c>
      <c r="F70" s="6">
        <v>520.98</v>
      </c>
      <c r="G70">
        <v>1</v>
      </c>
      <c r="H70" s="3" t="s">
        <v>125</v>
      </c>
      <c r="I70" s="4">
        <v>0.13</v>
      </c>
      <c r="J70">
        <v>69</v>
      </c>
      <c r="K70" t="s">
        <v>140</v>
      </c>
      <c r="L70">
        <v>2025</v>
      </c>
      <c r="M70">
        <v>1</v>
      </c>
    </row>
    <row r="71" spans="1:13" x14ac:dyDescent="0.35">
      <c r="A71" t="s">
        <v>75</v>
      </c>
      <c r="B71" t="s">
        <v>114</v>
      </c>
      <c r="C71" t="s">
        <v>116</v>
      </c>
      <c r="D71" t="s">
        <v>119</v>
      </c>
      <c r="E71" s="6">
        <v>409.65</v>
      </c>
      <c r="F71" s="6">
        <v>457.13</v>
      </c>
      <c r="G71">
        <v>9</v>
      </c>
      <c r="H71" s="3" t="s">
        <v>128</v>
      </c>
      <c r="I71" s="4">
        <v>0.2</v>
      </c>
      <c r="J71">
        <v>70</v>
      </c>
      <c r="K71" t="s">
        <v>141</v>
      </c>
      <c r="L71">
        <v>2024</v>
      </c>
      <c r="M71">
        <v>9</v>
      </c>
    </row>
    <row r="72" spans="1:13" x14ac:dyDescent="0.35">
      <c r="A72" t="s">
        <v>76</v>
      </c>
      <c r="B72" t="s">
        <v>107</v>
      </c>
      <c r="C72" t="s">
        <v>118</v>
      </c>
      <c r="D72" t="s">
        <v>120</v>
      </c>
      <c r="E72" s="6">
        <v>794.99</v>
      </c>
      <c r="F72" s="6">
        <v>1017.67</v>
      </c>
      <c r="G72">
        <v>40</v>
      </c>
      <c r="H72" s="3" t="s">
        <v>125</v>
      </c>
      <c r="I72" s="4">
        <v>0.26</v>
      </c>
      <c r="J72">
        <v>71</v>
      </c>
      <c r="K72" t="s">
        <v>142</v>
      </c>
      <c r="L72">
        <v>2023</v>
      </c>
      <c r="M72">
        <v>46</v>
      </c>
    </row>
    <row r="73" spans="1:13" x14ac:dyDescent="0.35">
      <c r="A73" t="s">
        <v>77</v>
      </c>
      <c r="B73" t="s">
        <v>107</v>
      </c>
      <c r="C73" t="s">
        <v>118</v>
      </c>
      <c r="D73" t="s">
        <v>120</v>
      </c>
      <c r="E73" s="6">
        <v>320.31</v>
      </c>
      <c r="F73" s="6">
        <v>387.26</v>
      </c>
      <c r="G73">
        <v>12</v>
      </c>
      <c r="H73" s="3" t="s">
        <v>126</v>
      </c>
      <c r="I73" s="4">
        <v>0.24</v>
      </c>
      <c r="J73">
        <v>72</v>
      </c>
      <c r="K73" t="s">
        <v>143</v>
      </c>
      <c r="L73">
        <v>2025</v>
      </c>
      <c r="M73">
        <v>11</v>
      </c>
    </row>
    <row r="74" spans="1:13" x14ac:dyDescent="0.35">
      <c r="A74" t="s">
        <v>78</v>
      </c>
      <c r="B74" t="s">
        <v>106</v>
      </c>
      <c r="C74" t="s">
        <v>117</v>
      </c>
      <c r="D74" t="s">
        <v>121</v>
      </c>
      <c r="E74" s="6">
        <v>619.59</v>
      </c>
      <c r="F74" s="6">
        <v>891.8</v>
      </c>
      <c r="G74">
        <v>22</v>
      </c>
      <c r="H74" s="3" t="s">
        <v>126</v>
      </c>
      <c r="I74" s="4">
        <v>0.08</v>
      </c>
      <c r="J74">
        <v>73</v>
      </c>
      <c r="K74" t="s">
        <v>132</v>
      </c>
      <c r="L74">
        <v>2024</v>
      </c>
      <c r="M74">
        <v>25</v>
      </c>
    </row>
    <row r="75" spans="1:13" x14ac:dyDescent="0.35">
      <c r="A75" t="s">
        <v>79</v>
      </c>
      <c r="B75" t="s">
        <v>114</v>
      </c>
      <c r="C75" t="s">
        <v>118</v>
      </c>
      <c r="D75" t="s">
        <v>121</v>
      </c>
      <c r="E75" s="6">
        <v>808.75</v>
      </c>
      <c r="F75" s="6">
        <v>1212.97</v>
      </c>
      <c r="G75">
        <v>21</v>
      </c>
      <c r="H75" s="3" t="s">
        <v>128</v>
      </c>
      <c r="I75" s="4">
        <v>0.28999999999999998</v>
      </c>
      <c r="J75">
        <v>74</v>
      </c>
      <c r="K75" t="s">
        <v>133</v>
      </c>
      <c r="L75">
        <v>2023</v>
      </c>
      <c r="M75">
        <v>21</v>
      </c>
    </row>
    <row r="76" spans="1:13" x14ac:dyDescent="0.35">
      <c r="A76" t="s">
        <v>80</v>
      </c>
      <c r="B76" t="s">
        <v>107</v>
      </c>
      <c r="C76" t="s">
        <v>118</v>
      </c>
      <c r="D76" t="s">
        <v>122</v>
      </c>
      <c r="E76" s="6">
        <v>603.29999999999995</v>
      </c>
      <c r="F76" s="6">
        <v>732.41</v>
      </c>
      <c r="G76">
        <v>18</v>
      </c>
      <c r="H76" s="3" t="s">
        <v>127</v>
      </c>
      <c r="I76" s="4">
        <v>0.22</v>
      </c>
      <c r="J76">
        <v>75</v>
      </c>
      <c r="K76" t="s">
        <v>134</v>
      </c>
      <c r="L76">
        <v>2025</v>
      </c>
      <c r="M76">
        <v>18</v>
      </c>
    </row>
    <row r="77" spans="1:13" x14ac:dyDescent="0.35">
      <c r="A77" t="s">
        <v>81</v>
      </c>
      <c r="B77" t="s">
        <v>106</v>
      </c>
      <c r="C77" t="s">
        <v>117</v>
      </c>
      <c r="D77" t="s">
        <v>119</v>
      </c>
      <c r="E77" s="6">
        <v>788.32</v>
      </c>
      <c r="F77" s="6">
        <v>883.02</v>
      </c>
      <c r="G77">
        <v>20</v>
      </c>
      <c r="H77" s="3" t="s">
        <v>125</v>
      </c>
      <c r="I77" s="4">
        <v>0.11</v>
      </c>
      <c r="J77">
        <v>76</v>
      </c>
      <c r="K77" t="s">
        <v>135</v>
      </c>
      <c r="L77">
        <v>2024</v>
      </c>
      <c r="M77">
        <v>21</v>
      </c>
    </row>
    <row r="78" spans="1:13" x14ac:dyDescent="0.35">
      <c r="A78" t="s">
        <v>82</v>
      </c>
      <c r="B78" t="s">
        <v>110</v>
      </c>
      <c r="C78" t="s">
        <v>118</v>
      </c>
      <c r="D78" t="s">
        <v>120</v>
      </c>
      <c r="E78" s="6">
        <v>705.23</v>
      </c>
      <c r="F78" s="6">
        <v>995.2</v>
      </c>
      <c r="G78">
        <v>11</v>
      </c>
      <c r="H78" s="3" t="s">
        <v>128</v>
      </c>
      <c r="I78" s="4">
        <v>0.25</v>
      </c>
      <c r="J78">
        <v>77</v>
      </c>
      <c r="K78" t="s">
        <v>136</v>
      </c>
      <c r="L78">
        <v>2023</v>
      </c>
      <c r="M78">
        <v>9</v>
      </c>
    </row>
    <row r="79" spans="1:13" x14ac:dyDescent="0.35">
      <c r="A79" t="s">
        <v>83</v>
      </c>
      <c r="B79" t="s">
        <v>110</v>
      </c>
      <c r="C79" t="s">
        <v>118</v>
      </c>
      <c r="D79" t="s">
        <v>122</v>
      </c>
      <c r="E79" s="6">
        <v>493.49</v>
      </c>
      <c r="F79" s="6">
        <v>598.36</v>
      </c>
      <c r="G79">
        <v>40</v>
      </c>
      <c r="H79" s="3" t="s">
        <v>125</v>
      </c>
      <c r="I79" s="4">
        <v>0.12</v>
      </c>
      <c r="J79">
        <v>78</v>
      </c>
      <c r="K79" t="s">
        <v>137</v>
      </c>
      <c r="L79">
        <v>2025</v>
      </c>
      <c r="M79">
        <v>44</v>
      </c>
    </row>
    <row r="80" spans="1:13" x14ac:dyDescent="0.35">
      <c r="A80" t="s">
        <v>84</v>
      </c>
      <c r="B80" t="s">
        <v>115</v>
      </c>
      <c r="C80" t="s">
        <v>116</v>
      </c>
      <c r="D80" t="s">
        <v>119</v>
      </c>
      <c r="E80" s="6">
        <v>473.5</v>
      </c>
      <c r="F80" s="6">
        <v>650.54999999999995</v>
      </c>
      <c r="G80">
        <v>18</v>
      </c>
      <c r="H80" s="3" t="s">
        <v>126</v>
      </c>
      <c r="I80" s="4">
        <v>0.3</v>
      </c>
      <c r="J80">
        <v>79</v>
      </c>
      <c r="K80" t="s">
        <v>138</v>
      </c>
      <c r="L80">
        <v>2024</v>
      </c>
      <c r="M80">
        <v>20</v>
      </c>
    </row>
    <row r="81" spans="1:13" x14ac:dyDescent="0.35">
      <c r="A81" t="s">
        <v>85</v>
      </c>
      <c r="B81" t="s">
        <v>106</v>
      </c>
      <c r="C81" t="s">
        <v>118</v>
      </c>
      <c r="D81" t="s">
        <v>120</v>
      </c>
      <c r="E81" s="6">
        <v>351.35</v>
      </c>
      <c r="F81" s="6">
        <v>453.34</v>
      </c>
      <c r="G81">
        <v>5</v>
      </c>
      <c r="H81" s="3" t="s">
        <v>126</v>
      </c>
      <c r="I81" s="4">
        <v>0.14000000000000001</v>
      </c>
      <c r="J81">
        <v>80</v>
      </c>
      <c r="K81" t="s">
        <v>139</v>
      </c>
      <c r="L81">
        <v>2023</v>
      </c>
      <c r="M81">
        <v>6</v>
      </c>
    </row>
    <row r="82" spans="1:13" x14ac:dyDescent="0.35">
      <c r="A82" t="s">
        <v>86</v>
      </c>
      <c r="B82" t="s">
        <v>115</v>
      </c>
      <c r="C82" t="s">
        <v>118</v>
      </c>
      <c r="D82" t="s">
        <v>120</v>
      </c>
      <c r="E82" s="6">
        <v>311.93</v>
      </c>
      <c r="F82" s="6">
        <v>400.88</v>
      </c>
      <c r="G82">
        <v>39</v>
      </c>
      <c r="H82" s="3" t="s">
        <v>128</v>
      </c>
      <c r="I82" s="4">
        <v>0.18</v>
      </c>
      <c r="J82">
        <v>81</v>
      </c>
      <c r="K82" t="s">
        <v>140</v>
      </c>
      <c r="L82">
        <v>2025</v>
      </c>
      <c r="M82">
        <v>46</v>
      </c>
    </row>
    <row r="83" spans="1:13" x14ac:dyDescent="0.35">
      <c r="A83" t="s">
        <v>87</v>
      </c>
      <c r="B83" t="s">
        <v>113</v>
      </c>
      <c r="C83" t="s">
        <v>117</v>
      </c>
      <c r="D83" t="s">
        <v>121</v>
      </c>
      <c r="E83" s="6">
        <v>212.47</v>
      </c>
      <c r="F83" s="6">
        <v>304.8</v>
      </c>
      <c r="G83">
        <v>28</v>
      </c>
      <c r="H83" s="3" t="s">
        <v>127</v>
      </c>
      <c r="I83" s="4">
        <v>0.27</v>
      </c>
      <c r="J83">
        <v>82</v>
      </c>
      <c r="K83" t="s">
        <v>141</v>
      </c>
      <c r="L83">
        <v>2024</v>
      </c>
      <c r="M83">
        <v>27</v>
      </c>
    </row>
    <row r="84" spans="1:13" x14ac:dyDescent="0.35">
      <c r="A84" t="s">
        <v>88</v>
      </c>
      <c r="B84" t="s">
        <v>113</v>
      </c>
      <c r="C84" t="s">
        <v>116</v>
      </c>
      <c r="D84" t="s">
        <v>122</v>
      </c>
      <c r="E84" s="6">
        <v>619.84</v>
      </c>
      <c r="F84" s="6">
        <v>911.75</v>
      </c>
      <c r="G84">
        <v>12</v>
      </c>
      <c r="H84" s="3" t="s">
        <v>125</v>
      </c>
      <c r="I84" s="4">
        <v>0.19</v>
      </c>
      <c r="J84">
        <v>83</v>
      </c>
      <c r="K84" t="s">
        <v>142</v>
      </c>
      <c r="L84">
        <v>2023</v>
      </c>
      <c r="M84">
        <v>11</v>
      </c>
    </row>
    <row r="85" spans="1:13" x14ac:dyDescent="0.35">
      <c r="A85" t="s">
        <v>89</v>
      </c>
      <c r="B85" t="s">
        <v>113</v>
      </c>
      <c r="C85" t="s">
        <v>116</v>
      </c>
      <c r="D85" t="s">
        <v>119</v>
      </c>
      <c r="E85" s="6">
        <v>213.7</v>
      </c>
      <c r="F85" s="6">
        <v>255.92</v>
      </c>
      <c r="G85">
        <v>15</v>
      </c>
      <c r="H85" s="3" t="s">
        <v>128</v>
      </c>
      <c r="I85" s="4">
        <v>0.06</v>
      </c>
      <c r="J85">
        <v>84</v>
      </c>
      <c r="K85" t="s">
        <v>143</v>
      </c>
      <c r="L85">
        <v>2025</v>
      </c>
      <c r="M85">
        <v>16</v>
      </c>
    </row>
    <row r="86" spans="1:13" x14ac:dyDescent="0.35">
      <c r="A86" t="s">
        <v>90</v>
      </c>
      <c r="B86" t="s">
        <v>112</v>
      </c>
      <c r="C86" t="s">
        <v>118</v>
      </c>
      <c r="D86" t="s">
        <v>122</v>
      </c>
      <c r="E86" s="6">
        <v>249.7</v>
      </c>
      <c r="F86" s="6">
        <v>333.54</v>
      </c>
      <c r="G86">
        <v>36</v>
      </c>
      <c r="H86" s="3" t="s">
        <v>125</v>
      </c>
      <c r="I86" s="4">
        <v>0.23</v>
      </c>
      <c r="J86">
        <v>85</v>
      </c>
      <c r="K86" t="s">
        <v>132</v>
      </c>
      <c r="L86">
        <v>2024</v>
      </c>
      <c r="M86">
        <v>39</v>
      </c>
    </row>
    <row r="87" spans="1:13" x14ac:dyDescent="0.35">
      <c r="A87" t="s">
        <v>91</v>
      </c>
      <c r="B87" t="s">
        <v>115</v>
      </c>
      <c r="C87" t="s">
        <v>117</v>
      </c>
      <c r="D87" t="s">
        <v>120</v>
      </c>
      <c r="E87" s="6">
        <v>945.59</v>
      </c>
      <c r="F87" s="6">
        <v>1254.0999999999999</v>
      </c>
      <c r="G87">
        <v>13</v>
      </c>
      <c r="H87" s="3" t="s">
        <v>126</v>
      </c>
      <c r="I87" s="4">
        <v>0.21</v>
      </c>
      <c r="J87">
        <v>86</v>
      </c>
      <c r="K87" t="s">
        <v>133</v>
      </c>
      <c r="L87">
        <v>2023</v>
      </c>
      <c r="M87">
        <v>14</v>
      </c>
    </row>
    <row r="88" spans="1:13" x14ac:dyDescent="0.35">
      <c r="A88" t="s">
        <v>92</v>
      </c>
      <c r="B88" t="s">
        <v>114</v>
      </c>
      <c r="C88" t="s">
        <v>117</v>
      </c>
      <c r="D88" t="s">
        <v>122</v>
      </c>
      <c r="E88" s="6">
        <v>964.27</v>
      </c>
      <c r="F88" s="6">
        <v>1438.53</v>
      </c>
      <c r="G88">
        <v>16</v>
      </c>
      <c r="H88" s="3" t="s">
        <v>126</v>
      </c>
      <c r="I88" s="4">
        <v>0.1</v>
      </c>
      <c r="J88">
        <v>87</v>
      </c>
      <c r="K88" t="s">
        <v>134</v>
      </c>
      <c r="L88">
        <v>2025</v>
      </c>
      <c r="M88">
        <v>19</v>
      </c>
    </row>
    <row r="89" spans="1:13" x14ac:dyDescent="0.35">
      <c r="A89" t="s">
        <v>93</v>
      </c>
      <c r="B89" t="s">
        <v>112</v>
      </c>
      <c r="C89" t="s">
        <v>117</v>
      </c>
      <c r="D89" t="s">
        <v>119</v>
      </c>
      <c r="E89" s="6">
        <v>856.38</v>
      </c>
      <c r="F89" s="6">
        <v>1073.1600000000001</v>
      </c>
      <c r="G89">
        <v>24</v>
      </c>
      <c r="H89" s="3" t="s">
        <v>128</v>
      </c>
      <c r="I89" s="4">
        <v>0.16</v>
      </c>
      <c r="J89">
        <v>88</v>
      </c>
      <c r="K89" t="s">
        <v>135</v>
      </c>
      <c r="L89">
        <v>2024</v>
      </c>
      <c r="M89">
        <v>29</v>
      </c>
    </row>
    <row r="90" spans="1:13" x14ac:dyDescent="0.35">
      <c r="A90" t="s">
        <v>94</v>
      </c>
      <c r="B90" t="s">
        <v>108</v>
      </c>
      <c r="C90" t="s">
        <v>117</v>
      </c>
      <c r="D90" t="s">
        <v>122</v>
      </c>
      <c r="E90" s="6">
        <v>400.54</v>
      </c>
      <c r="F90" s="6">
        <v>527.08000000000004</v>
      </c>
      <c r="G90">
        <v>22</v>
      </c>
      <c r="H90" s="3" t="s">
        <v>127</v>
      </c>
      <c r="I90" s="4">
        <v>0.28000000000000003</v>
      </c>
      <c r="J90">
        <v>89</v>
      </c>
      <c r="K90" t="s">
        <v>136</v>
      </c>
      <c r="L90">
        <v>2023</v>
      </c>
      <c r="M90">
        <v>22</v>
      </c>
    </row>
    <row r="91" spans="1:13" x14ac:dyDescent="0.35">
      <c r="A91" t="s">
        <v>95</v>
      </c>
      <c r="B91" t="s">
        <v>107</v>
      </c>
      <c r="C91" t="s">
        <v>116</v>
      </c>
      <c r="D91" t="s">
        <v>120</v>
      </c>
      <c r="E91" s="6">
        <v>402.37</v>
      </c>
      <c r="F91" s="6">
        <v>511.12</v>
      </c>
      <c r="G91">
        <v>12</v>
      </c>
      <c r="H91" s="3" t="s">
        <v>125</v>
      </c>
      <c r="I91" s="4">
        <v>0.15</v>
      </c>
      <c r="J91">
        <v>90</v>
      </c>
      <c r="K91" t="s">
        <v>137</v>
      </c>
      <c r="L91">
        <v>2025</v>
      </c>
      <c r="M91">
        <v>11</v>
      </c>
    </row>
    <row r="92" spans="1:13" x14ac:dyDescent="0.35">
      <c r="A92" t="s">
        <v>96</v>
      </c>
      <c r="B92" t="s">
        <v>113</v>
      </c>
      <c r="C92" t="s">
        <v>118</v>
      </c>
      <c r="D92" t="s">
        <v>120</v>
      </c>
      <c r="E92" s="6">
        <v>716.15</v>
      </c>
      <c r="F92" s="6">
        <v>1049.97</v>
      </c>
      <c r="G92">
        <v>50</v>
      </c>
      <c r="H92" s="3" t="s">
        <v>128</v>
      </c>
      <c r="I92" s="4">
        <v>0.09</v>
      </c>
      <c r="J92">
        <v>91</v>
      </c>
      <c r="K92" t="s">
        <v>138</v>
      </c>
      <c r="L92">
        <v>2024</v>
      </c>
      <c r="M92">
        <v>55</v>
      </c>
    </row>
    <row r="93" spans="1:13" x14ac:dyDescent="0.35">
      <c r="A93" t="s">
        <v>97</v>
      </c>
      <c r="B93" t="s">
        <v>114</v>
      </c>
      <c r="C93" t="s">
        <v>116</v>
      </c>
      <c r="D93" t="s">
        <v>119</v>
      </c>
      <c r="E93" s="6">
        <v>250.96</v>
      </c>
      <c r="F93" s="6">
        <v>374.74</v>
      </c>
      <c r="G93">
        <v>5</v>
      </c>
      <c r="H93" s="3" t="s">
        <v>125</v>
      </c>
      <c r="I93" s="4">
        <v>0.3</v>
      </c>
      <c r="J93">
        <v>92</v>
      </c>
      <c r="K93" t="s">
        <v>139</v>
      </c>
      <c r="L93">
        <v>2023</v>
      </c>
      <c r="M93">
        <v>5</v>
      </c>
    </row>
    <row r="94" spans="1:13" x14ac:dyDescent="0.35">
      <c r="A94" t="s">
        <v>98</v>
      </c>
      <c r="B94" t="s">
        <v>110</v>
      </c>
      <c r="C94" t="s">
        <v>116</v>
      </c>
      <c r="D94" t="s">
        <v>120</v>
      </c>
      <c r="E94" s="6">
        <v>513.24</v>
      </c>
      <c r="F94" s="6">
        <v>763.93</v>
      </c>
      <c r="G94">
        <v>22</v>
      </c>
      <c r="H94" s="3" t="s">
        <v>126</v>
      </c>
      <c r="I94" s="4">
        <v>0.24</v>
      </c>
      <c r="J94">
        <v>93</v>
      </c>
      <c r="K94" t="s">
        <v>140</v>
      </c>
      <c r="L94">
        <v>2025</v>
      </c>
      <c r="M94">
        <v>22</v>
      </c>
    </row>
    <row r="95" spans="1:13" x14ac:dyDescent="0.35">
      <c r="A95" t="s">
        <v>99</v>
      </c>
      <c r="B95" t="s">
        <v>106</v>
      </c>
      <c r="C95" t="s">
        <v>117</v>
      </c>
      <c r="D95" t="s">
        <v>122</v>
      </c>
      <c r="E95" s="6">
        <v>403.97</v>
      </c>
      <c r="F95" s="6">
        <v>497.66</v>
      </c>
      <c r="G95">
        <v>19</v>
      </c>
      <c r="H95" s="3" t="s">
        <v>126</v>
      </c>
      <c r="I95" s="4">
        <v>0.12</v>
      </c>
      <c r="J95">
        <v>94</v>
      </c>
      <c r="K95" t="s">
        <v>141</v>
      </c>
      <c r="L95">
        <v>2024</v>
      </c>
      <c r="M95">
        <v>16</v>
      </c>
    </row>
    <row r="96" spans="1:13" x14ac:dyDescent="0.35">
      <c r="A96" t="s">
        <v>100</v>
      </c>
      <c r="B96" t="s">
        <v>110</v>
      </c>
      <c r="C96" t="s">
        <v>117</v>
      </c>
      <c r="D96" t="s">
        <v>122</v>
      </c>
      <c r="E96" s="6">
        <v>711.97</v>
      </c>
      <c r="F96" s="6">
        <v>1060.58</v>
      </c>
      <c r="G96">
        <v>10</v>
      </c>
      <c r="H96" s="3" t="s">
        <v>128</v>
      </c>
      <c r="I96" s="4">
        <v>0.28999999999999998</v>
      </c>
      <c r="J96">
        <v>95</v>
      </c>
      <c r="K96" t="s">
        <v>142</v>
      </c>
      <c r="L96">
        <v>2023</v>
      </c>
      <c r="M96">
        <v>8</v>
      </c>
    </row>
    <row r="97" spans="1:13" x14ac:dyDescent="0.35">
      <c r="A97" t="s">
        <v>101</v>
      </c>
      <c r="B97" t="s">
        <v>111</v>
      </c>
      <c r="C97" t="s">
        <v>118</v>
      </c>
      <c r="D97" t="s">
        <v>122</v>
      </c>
      <c r="E97" s="6">
        <v>853.93</v>
      </c>
      <c r="F97" s="6">
        <v>1009.14</v>
      </c>
      <c r="G97">
        <v>45</v>
      </c>
      <c r="H97" s="3" t="s">
        <v>127</v>
      </c>
      <c r="I97" s="4">
        <v>0.17</v>
      </c>
      <c r="J97">
        <v>96</v>
      </c>
      <c r="K97" t="s">
        <v>143</v>
      </c>
      <c r="L97">
        <v>2025</v>
      </c>
      <c r="M97">
        <v>44</v>
      </c>
    </row>
    <row r="98" spans="1:13" x14ac:dyDescent="0.35">
      <c r="A98" t="s">
        <v>102</v>
      </c>
      <c r="B98" t="s">
        <v>114</v>
      </c>
      <c r="C98" t="s">
        <v>117</v>
      </c>
      <c r="D98" t="s">
        <v>119</v>
      </c>
      <c r="E98" s="6">
        <v>680.81</v>
      </c>
      <c r="F98" s="6">
        <v>892.02</v>
      </c>
      <c r="G98">
        <v>12</v>
      </c>
      <c r="H98" s="3" t="s">
        <v>125</v>
      </c>
      <c r="I98" s="4">
        <v>0.2</v>
      </c>
      <c r="J98">
        <v>97</v>
      </c>
      <c r="K98" t="s">
        <v>132</v>
      </c>
      <c r="L98">
        <v>2024</v>
      </c>
      <c r="M98">
        <v>13</v>
      </c>
    </row>
    <row r="99" spans="1:13" x14ac:dyDescent="0.35">
      <c r="A99" t="s">
        <v>103</v>
      </c>
      <c r="B99" t="s">
        <v>110</v>
      </c>
      <c r="C99" t="s">
        <v>117</v>
      </c>
      <c r="D99" t="s">
        <v>120</v>
      </c>
      <c r="E99" s="6">
        <v>549.61</v>
      </c>
      <c r="F99" s="6">
        <v>711.95</v>
      </c>
      <c r="G99">
        <v>8</v>
      </c>
      <c r="H99" s="3" t="s">
        <v>128</v>
      </c>
      <c r="I99" s="4">
        <v>0.22</v>
      </c>
      <c r="J99">
        <v>98</v>
      </c>
      <c r="K99" t="s">
        <v>133</v>
      </c>
      <c r="L99">
        <v>2023</v>
      </c>
      <c r="M99">
        <v>7</v>
      </c>
    </row>
    <row r="100" spans="1:13" x14ac:dyDescent="0.35">
      <c r="A100" t="s">
        <v>104</v>
      </c>
      <c r="B100" t="s">
        <v>114</v>
      </c>
      <c r="C100" t="s">
        <v>118</v>
      </c>
      <c r="D100" t="s">
        <v>120</v>
      </c>
      <c r="E100" s="6">
        <v>777.2</v>
      </c>
      <c r="F100" s="6">
        <v>1023.36</v>
      </c>
      <c r="G100">
        <v>24</v>
      </c>
      <c r="H100" s="3" t="s">
        <v>125</v>
      </c>
      <c r="I100" s="4">
        <v>0.14000000000000001</v>
      </c>
      <c r="J100">
        <v>99</v>
      </c>
      <c r="K100" t="s">
        <v>134</v>
      </c>
      <c r="L100">
        <v>2025</v>
      </c>
      <c r="M100">
        <v>22</v>
      </c>
    </row>
    <row r="101" spans="1:13" x14ac:dyDescent="0.35">
      <c r="A101" t="s">
        <v>105</v>
      </c>
      <c r="B101" t="s">
        <v>112</v>
      </c>
      <c r="C101" t="s">
        <v>116</v>
      </c>
      <c r="D101" t="s">
        <v>121</v>
      </c>
      <c r="E101" s="6">
        <v>867.49</v>
      </c>
      <c r="F101" s="6">
        <v>1182.23</v>
      </c>
      <c r="G101">
        <v>35</v>
      </c>
      <c r="H101" s="3" t="s">
        <v>126</v>
      </c>
      <c r="I101" s="4">
        <v>0.25</v>
      </c>
      <c r="J101">
        <v>100</v>
      </c>
      <c r="K101" t="s">
        <v>135</v>
      </c>
      <c r="L101">
        <v>2024</v>
      </c>
      <c r="M101">
        <v>38</v>
      </c>
    </row>
    <row r="103" spans="1:13" x14ac:dyDescent="0.35">
      <c r="E103" s="6"/>
    </row>
    <row r="105" spans="1:13" x14ac:dyDescent="0.35">
      <c r="E105">
        <f>SUMPRODUCT((Data!G2:G101-Data!F2:F101), Data!H2:H101)</f>
        <v>0</v>
      </c>
    </row>
  </sheetData>
  <conditionalFormatting sqref="I1:I1048576">
    <cfRule type="dataBar" priority="1">
      <dataBar>
        <cfvo type="min"/>
        <cfvo type="max"/>
        <color rgb="FF63C384"/>
      </dataBar>
      <extLst>
        <ext xmlns:x14="http://schemas.microsoft.com/office/spreadsheetml/2009/9/main" uri="{B025F937-C7B1-47D3-B67F-A62EFF666E3E}">
          <x14:id>{5AC7F489-91C1-4A58-8E69-BC02E5B88679}</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AC7F489-91C1-4A58-8E69-BC02E5B88679}">
            <x14:dataBar minLength="0" maxLength="100" border="1" negativeBarBorderColorSameAsPositive="0">
              <x14:cfvo type="autoMin"/>
              <x14:cfvo type="autoMax"/>
              <x14:borderColor rgb="FF63C384"/>
              <x14:negativeFillColor rgb="FFFF0000"/>
              <x14:negativeBorderColor rgb="FFFF0000"/>
              <x14:axisColor rgb="FF000000"/>
            </x14:dataBar>
          </x14:cfRule>
          <xm:sqref>I1:I1048576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2025-09-09T09:39:37Z</dcterms:created>
  <dcterms:modified xsi:type="dcterms:W3CDTF">2025-12-18T07:25:39Z</dcterms:modified>
</cp:coreProperties>
</file>